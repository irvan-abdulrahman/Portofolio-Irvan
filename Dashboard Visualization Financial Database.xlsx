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
    </mc:Choice>
  </mc:AlternateContent>
  <xr:revisionPtr revIDLastSave="0" documentId="13_ncr:1_{B537A87D-82E4-4E32-8B7B-72615975C873}" xr6:coauthVersionLast="47" xr6:coauthVersionMax="47" xr10:uidLastSave="{00000000-0000-0000-0000-000000000000}"/>
  <bookViews>
    <workbookView xWindow="-120" yWindow="-120" windowWidth="29040" windowHeight="15720" activeTab="2" xr2:uid="{00000000-000D-0000-FFFF-FFFF00000000}"/>
  </bookViews>
  <sheets>
    <sheet name="Dashboard" sheetId="6" r:id="rId1"/>
    <sheet name="Pivot Table" sheetId="7" r:id="rId2"/>
    <sheet name="Dataset" sheetId="1" r:id="rId3"/>
  </sheets>
  <definedNames>
    <definedName name="NativeTimeline_Tanggal_Pengeluaran">#N/A</definedName>
    <definedName name="Slicer_Jenis_Dana">#N/A</definedName>
    <definedName name="Slicer_Months__Tanggal_Pengeluara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6" l="1"/>
  <c r="L6" i="6"/>
  <c r="I6" i="6"/>
</calcChain>
</file>

<file path=xl/sharedStrings.xml><?xml version="1.0" encoding="utf-8"?>
<sst xmlns="http://schemas.openxmlformats.org/spreadsheetml/2006/main" count="771" uniqueCount="64">
  <si>
    <t>Tanggal Pengeluaran</t>
  </si>
  <si>
    <t>Jenis Dana</t>
  </si>
  <si>
    <t>Toko</t>
  </si>
  <si>
    <t>Nama Barang</t>
  </si>
  <si>
    <t>Harga Satuan</t>
  </si>
  <si>
    <t>Investasi</t>
  </si>
  <si>
    <t>PT Pegadaian Galeri 24</t>
  </si>
  <si>
    <t>Tambahan</t>
  </si>
  <si>
    <t>Warung</t>
  </si>
  <si>
    <t>Makan</t>
  </si>
  <si>
    <t>Cafe</t>
  </si>
  <si>
    <t>Kopi</t>
  </si>
  <si>
    <t>Jajan</t>
  </si>
  <si>
    <t>Pokok</t>
  </si>
  <si>
    <t>Pertamina</t>
  </si>
  <si>
    <t>Transportasi Bensin</t>
  </si>
  <si>
    <t>AWW Gringging</t>
  </si>
  <si>
    <t>Tas</t>
  </si>
  <si>
    <t>Alfamart</t>
  </si>
  <si>
    <t>Kebutuhan Sehari-hari</t>
  </si>
  <si>
    <t>Pasar</t>
  </si>
  <si>
    <t>Sayur dan Buah</t>
  </si>
  <si>
    <t>Lapis Surabaya</t>
  </si>
  <si>
    <t>Indomaret</t>
  </si>
  <si>
    <t>Belanja Harian</t>
  </si>
  <si>
    <t>Minimarket</t>
  </si>
  <si>
    <t>Snack</t>
  </si>
  <si>
    <t>Toko Buku</t>
  </si>
  <si>
    <t>ATK</t>
  </si>
  <si>
    <t>Lain-lain</t>
  </si>
  <si>
    <t>Souvenir wisuda aldo</t>
  </si>
  <si>
    <t>Indosat</t>
  </si>
  <si>
    <t>Kuota</t>
  </si>
  <si>
    <t>Admin ATM</t>
  </si>
  <si>
    <t>Magang Liburan</t>
  </si>
  <si>
    <t>Dana Darurat Bulanan</t>
  </si>
  <si>
    <t>Liburan</t>
  </si>
  <si>
    <t>Ganti Oli</t>
  </si>
  <si>
    <t>Telkomsel</t>
  </si>
  <si>
    <t>Galon</t>
  </si>
  <si>
    <t>Jersey</t>
  </si>
  <si>
    <t>Paspor</t>
  </si>
  <si>
    <t>Sum of Harga Satuan</t>
  </si>
  <si>
    <t>DASHBOARD PENGELUARAN</t>
  </si>
  <si>
    <t>Pengeluaran Harian - Daily Report</t>
  </si>
  <si>
    <t>Total Pengeluaran</t>
  </si>
  <si>
    <t>Count of Tanggal Pengeluaran</t>
  </si>
  <si>
    <t>Jumlah Transaksi</t>
  </si>
  <si>
    <t>Average of Harga Satuan2</t>
  </si>
  <si>
    <t>Rata Rata Pengeluaran</t>
  </si>
  <si>
    <t>Row Labels</t>
  </si>
  <si>
    <t>Grand Total</t>
  </si>
  <si>
    <t>Jan</t>
  </si>
  <si>
    <t>Feb</t>
  </si>
  <si>
    <t>Mar</t>
  </si>
  <si>
    <t>Apr</t>
  </si>
  <si>
    <t>May</t>
  </si>
  <si>
    <t>Jun</t>
  </si>
  <si>
    <t>Bulan</t>
  </si>
  <si>
    <t>Count of Jenis Dana</t>
  </si>
  <si>
    <t>Tipe Pembayaran</t>
  </si>
  <si>
    <t>Transfer</t>
  </si>
  <si>
    <t>Cash</t>
  </si>
  <si>
    <t>QRIS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</si>
</sst>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p&quot;#,##0.00;[Red]\-&quot;Rp&quot;#,##0.00"/>
    <numFmt numFmtId="164" formatCode="yyyy\-mm\-dd\ hh:mm:ss"/>
  </numFmts>
  <fonts count="5" x14ac:knownFonts="1">
    <font>
      <sz val="11"/>
      <color theme="1"/>
      <name val="Calibri"/>
      <family val="2"/>
      <scheme val="minor"/>
    </font>
    <font>
      <b/>
      <sz val="11"/>
      <color theme="0"/>
      <name val="Calibri"/>
      <family val="2"/>
    </font>
    <font>
      <sz val="20"/>
      <color theme="1"/>
      <name val="ADLaM Display"/>
    </font>
    <font>
      <sz val="16"/>
      <color theme="1"/>
      <name val="Calibri"/>
      <family val="2"/>
      <scheme val="minor"/>
    </font>
    <font>
      <b/>
      <sz val="11"/>
      <color theme="0"/>
      <name val="Calibr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8">
    <border>
      <left/>
      <right/>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164" fontId="0" fillId="0" borderId="0" xfId="0" applyNumberFormat="1"/>
    <xf numFmtId="8" fontId="0" fillId="0" borderId="0" xfId="0" applyNumberFormat="1"/>
    <xf numFmtId="0" fontId="1" fillId="0" borderId="1" xfId="0" applyFont="1" applyBorder="1" applyAlignment="1">
      <alignment horizontal="center" vertical="top"/>
    </xf>
    <xf numFmtId="8" fontId="1" fillId="0" borderId="1" xfId="0" applyNumberFormat="1" applyFont="1" applyBorder="1" applyAlignment="1">
      <alignment horizontal="center" vertical="top"/>
    </xf>
    <xf numFmtId="0" fontId="0" fillId="2" borderId="0" xfId="0" applyFill="1"/>
    <xf numFmtId="0" fontId="0" fillId="3" borderId="0" xfId="0" applyFill="1"/>
    <xf numFmtId="0" fontId="0" fillId="0" borderId="0" xfId="0" pivotButton="1"/>
    <xf numFmtId="0" fontId="0" fillId="0" borderId="0" xfId="0" applyAlignment="1">
      <alignment horizontal="left"/>
    </xf>
    <xf numFmtId="0" fontId="4"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8" fontId="3" fillId="0" borderId="4" xfId="0" applyNumberFormat="1" applyFont="1" applyBorder="1" applyAlignment="1">
      <alignment horizontal="center" vertical="center"/>
    </xf>
    <xf numFmtId="8" fontId="3" fillId="0" borderId="5" xfId="0" applyNumberFormat="1" applyFont="1" applyBorder="1" applyAlignment="1">
      <alignment horizontal="center" vertical="center"/>
    </xf>
    <xf numFmtId="8" fontId="3" fillId="0" borderId="6" xfId="0" applyNumberFormat="1" applyFont="1" applyBorder="1" applyAlignment="1">
      <alignment horizontal="center" vertical="center"/>
    </xf>
    <xf numFmtId="8" fontId="3" fillId="0" borderId="7" xfId="0" applyNumberFormat="1" applyFont="1" applyBorder="1" applyAlignment="1">
      <alignment horizontal="center" vertical="center"/>
    </xf>
    <xf numFmtId="0" fontId="2"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cellXfs>
  <cellStyles count="1">
    <cellStyle name="Normal" xfId="0" builtinId="0"/>
  </cellStyles>
  <dxfs count="13">
    <dxf>
      <numFmt numFmtId="12" formatCode="&quot;Rp&quot;#,##0.00;[Red]\-&quot;Rp&quot;#,##0.0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2" formatCode="&quot;Rp&quot;#,##0.00;[Red]\-&quot;Rp&quot;#,##0.00"/>
    </dxf>
    <dxf>
      <numFmt numFmtId="12" formatCode="&quot;Rp&quot;#,##0.00;[Red]\-&quot;Rp&quot;#,##0.00"/>
    </dxf>
    <dxf>
      <numFmt numFmtId="12" formatCode="&quot;Rp&quot;#,##0.00;[Red]\-&quot;Rp&quot;#,##0.00"/>
    </dxf>
    <dxf>
      <numFmt numFmtId="12" formatCode="&quot;Rp&quot;#,##0.00;[Red]\-&quot;Rp&quot;#,##0.00"/>
    </dxf>
    <dxf>
      <numFmt numFmtId="12" formatCode="&quot;Rp&quot;#,##0.00;[Red]\-&quot;Rp&quot;#,##0.00"/>
    </dxf>
    <dxf>
      <numFmt numFmtId="12" formatCode="&quot;Rp&quot;#,##0.00;[Red]\-&quot;Rp&quot;#,##0.00"/>
    </dxf>
    <dxf>
      <numFmt numFmtId="12" formatCode="&quot;Rp&quot;#,##0.00;[Red]\-&quot;Rp&quot;#,##0.00"/>
    </dxf>
    <dxf>
      <numFmt numFmtId="0" formatCode="General"/>
    </dxf>
    <dxf>
      <numFmt numFmtId="12" formatCode="&quot;Rp&quot;#,##0.00;[Red]\-&quot;Rp&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[Database Keuangan Januari - Juni 2025.xlsx]Pivot Table!PivotTable2</c:name>
    <c:fmtId val="2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Total Pengeluaran Per Bulan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3"/>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367016622922"/>
          <c:y val="0.31884040536599589"/>
          <c:w val="0.61302952755905515"/>
          <c:h val="0.53774387576552929"/>
        </c:manualLayout>
      </c:layout>
      <c:lineChart>
        <c:grouping val="standard"/>
        <c:varyColors val="0"/>
        <c:ser>
          <c:idx val="0"/>
          <c:order val="0"/>
          <c:tx>
            <c:strRef>
              <c:f>'Pivot Table'!$B$9</c:f>
              <c:strCache>
                <c:ptCount val="1"/>
                <c:pt idx="0">
                  <c:v>Total</c:v>
                </c:pt>
              </c:strCache>
            </c:strRef>
          </c:tx>
          <c:spPr>
            <a:ln w="38100" cap="rnd">
              <a:solidFill>
                <a:schemeClr val="accent3"/>
              </a:solidFill>
              <a:round/>
            </a:ln>
            <a:effectLst/>
          </c:spPr>
          <c:marker>
            <c:symbol val="circle"/>
            <c:size val="8"/>
            <c:spPr>
              <a:solidFill>
                <a:schemeClr val="accent3"/>
              </a:solidFill>
              <a:ln>
                <a:noFill/>
              </a:ln>
              <a:effectLst/>
            </c:spPr>
          </c:marker>
          <c:cat>
            <c:strRef>
              <c:f>'Pivot Table'!$A$10:$A$16</c:f>
              <c:strCache>
                <c:ptCount val="6"/>
                <c:pt idx="0">
                  <c:v>Jan</c:v>
                </c:pt>
                <c:pt idx="1">
                  <c:v>Feb</c:v>
                </c:pt>
                <c:pt idx="2">
                  <c:v>Mar</c:v>
                </c:pt>
                <c:pt idx="3">
                  <c:v>Apr</c:v>
                </c:pt>
                <c:pt idx="4">
                  <c:v>May</c:v>
                </c:pt>
                <c:pt idx="5">
                  <c:v>Jun</c:v>
                </c:pt>
              </c:strCache>
            </c:strRef>
          </c:cat>
          <c:val>
            <c:numRef>
              <c:f>'Pivot Table'!$B$10:$B$16</c:f>
              <c:numCache>
                <c:formatCode>"Rp"#,##0.00_);[Red]\("Rp"#,##0.00\)</c:formatCode>
                <c:ptCount val="6"/>
                <c:pt idx="0">
                  <c:v>1714000</c:v>
                </c:pt>
                <c:pt idx="1">
                  <c:v>932500</c:v>
                </c:pt>
                <c:pt idx="2">
                  <c:v>902000</c:v>
                </c:pt>
                <c:pt idx="3">
                  <c:v>1496500</c:v>
                </c:pt>
                <c:pt idx="4">
                  <c:v>1463000</c:v>
                </c:pt>
                <c:pt idx="5">
                  <c:v>1795188</c:v>
                </c:pt>
              </c:numCache>
            </c:numRef>
          </c:val>
          <c:smooth val="0"/>
          <c:extLst>
            <c:ext xmlns:c16="http://schemas.microsoft.com/office/drawing/2014/chart" uri="{C3380CC4-5D6E-409C-BE32-E72D297353CC}">
              <c16:uniqueId val="{00000000-9FB9-4A8C-81DE-718B2061C54A}"/>
            </c:ext>
          </c:extLst>
        </c:ser>
        <c:dLbls>
          <c:showLegendKey val="0"/>
          <c:showVal val="0"/>
          <c:showCatName val="0"/>
          <c:showSerName val="0"/>
          <c:showPercent val="0"/>
          <c:showBubbleSize val="0"/>
        </c:dLbls>
        <c:marker val="1"/>
        <c:smooth val="0"/>
        <c:axId val="784256240"/>
        <c:axId val="784266800"/>
      </c:lineChart>
      <c:catAx>
        <c:axId val="78425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id-ID"/>
          </a:p>
        </c:txPr>
        <c:crossAx val="784266800"/>
        <c:crosses val="autoZero"/>
        <c:auto val="1"/>
        <c:lblAlgn val="ctr"/>
        <c:lblOffset val="100"/>
        <c:noMultiLvlLbl val="0"/>
      </c:catAx>
      <c:valAx>
        <c:axId val="7842668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Rp&quot;#,##0.00_);[Red]\(&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78425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[Database Keuangan Januari - Juni 2025.xlsx]Pivot Table!PivotTable4</c:name>
    <c:fmtId val="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Pengeluaran Berdasarkan Jenis Dana</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id-ID"/>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Table'!$B$21</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invertIfNegative val="0"/>
          <c:cat>
            <c:strRef>
              <c:f>'Pivot Table'!$A$22:$A$25</c:f>
              <c:strCache>
                <c:ptCount val="3"/>
                <c:pt idx="0">
                  <c:v>Investasi</c:v>
                </c:pt>
                <c:pt idx="1">
                  <c:v>Pokok</c:v>
                </c:pt>
                <c:pt idx="2">
                  <c:v>Tambahan</c:v>
                </c:pt>
              </c:strCache>
            </c:strRef>
          </c:cat>
          <c:val>
            <c:numRef>
              <c:f>'Pivot Table'!$B$22:$B$25</c:f>
              <c:numCache>
                <c:formatCode>"Rp"#,##0.00_);[Red]\("Rp"#,##0.00\)</c:formatCode>
                <c:ptCount val="3"/>
                <c:pt idx="0">
                  <c:v>1581000</c:v>
                </c:pt>
                <c:pt idx="1">
                  <c:v>4633988</c:v>
                </c:pt>
                <c:pt idx="2">
                  <c:v>2088200</c:v>
                </c:pt>
              </c:numCache>
            </c:numRef>
          </c:val>
          <c:extLst>
            <c:ext xmlns:c16="http://schemas.microsoft.com/office/drawing/2014/chart" uri="{C3380CC4-5D6E-409C-BE32-E72D297353CC}">
              <c16:uniqueId val="{00000000-4CFB-4E9F-9B6A-29BE82F63ABC}"/>
            </c:ext>
          </c:extLst>
        </c:ser>
        <c:dLbls>
          <c:showLegendKey val="0"/>
          <c:showVal val="0"/>
          <c:showCatName val="0"/>
          <c:showSerName val="0"/>
          <c:showPercent val="0"/>
          <c:showBubbleSize val="0"/>
        </c:dLbls>
        <c:gapWidth val="150"/>
        <c:shape val="box"/>
        <c:axId val="798006528"/>
        <c:axId val="798014688"/>
        <c:axId val="0"/>
      </c:bar3DChart>
      <c:catAx>
        <c:axId val="79800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id-ID"/>
          </a:p>
        </c:txPr>
        <c:crossAx val="798014688"/>
        <c:crosses val="autoZero"/>
        <c:auto val="1"/>
        <c:lblAlgn val="ctr"/>
        <c:lblOffset val="100"/>
        <c:noMultiLvlLbl val="0"/>
      </c:catAx>
      <c:valAx>
        <c:axId val="798014688"/>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00_);[Red]\(&quot;Rp&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id-ID"/>
          </a:p>
        </c:txPr>
        <c:crossAx val="79800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[Database Keuangan Januari - Juni 2025.xlsx]Pivot Table!PivotTable5</c:name>
    <c:fmtId val="6"/>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3"/>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3">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5000"/>
                    </a:schemeClr>
                  </a:solidFill>
                  <a:latin typeface="+mn-lt"/>
                  <a:ea typeface="+mn-ea"/>
                  <a:cs typeface="+mn-cs"/>
                </a:defRPr>
              </a:pPr>
              <a:endParaRPr lang="id-ID"/>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Table'!$B$28</c:f>
              <c:strCache>
                <c:ptCount val="1"/>
                <c:pt idx="0">
                  <c:v>Total</c:v>
                </c:pt>
              </c:strCache>
            </c:strRef>
          </c:tx>
          <c:dPt>
            <c:idx val="0"/>
            <c:bubble3D val="0"/>
            <c:spPr>
              <a:solidFill>
                <a:schemeClr val="accent3">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2E8-419C-A780-59F05B6682C6}"/>
              </c:ext>
            </c:extLst>
          </c:dPt>
          <c:dPt>
            <c:idx val="1"/>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2E8-419C-A780-59F05B6682C6}"/>
              </c:ext>
            </c:extLst>
          </c:dPt>
          <c:dPt>
            <c:idx val="2"/>
            <c:bubble3D val="0"/>
            <c:spPr>
              <a:solidFill>
                <a:schemeClr val="accent3">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2E8-419C-A780-59F05B6682C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hade val="65000"/>
                        </a:schemeClr>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1-D2E8-419C-A780-59F05B6682C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3-D2E8-419C-A780-59F05B6682C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tint val="65000"/>
                        </a:schemeClr>
                      </a:solidFill>
                      <a:latin typeface="+mn-lt"/>
                      <a:ea typeface="+mn-ea"/>
                      <a:cs typeface="+mn-cs"/>
                    </a:defRPr>
                  </a:pPr>
                  <a:endParaRPr lang="id-ID"/>
                </a:p>
              </c:txPr>
              <c:dLblPos val="outEnd"/>
              <c:showLegendKey val="0"/>
              <c:showVal val="0"/>
              <c:showCatName val="1"/>
              <c:showSerName val="0"/>
              <c:showPercent val="1"/>
              <c:showBubbleSize val="0"/>
              <c:extLst>
                <c:ext xmlns:c16="http://schemas.microsoft.com/office/drawing/2014/chart" uri="{C3380CC4-5D6E-409C-BE32-E72D297353CC}">
                  <c16:uniqueId val="{00000005-D2E8-419C-A780-59F05B6682C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id-ID"/>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Table'!$A$29:$A$32</c:f>
              <c:strCache>
                <c:ptCount val="3"/>
                <c:pt idx="0">
                  <c:v>Investasi</c:v>
                </c:pt>
                <c:pt idx="1">
                  <c:v>Pokok</c:v>
                </c:pt>
                <c:pt idx="2">
                  <c:v>Tambahan</c:v>
                </c:pt>
              </c:strCache>
            </c:strRef>
          </c:cat>
          <c:val>
            <c:numRef>
              <c:f>'Pivot Table'!$B$29:$B$32</c:f>
              <c:numCache>
                <c:formatCode>General</c:formatCode>
                <c:ptCount val="3"/>
                <c:pt idx="0">
                  <c:v>1</c:v>
                </c:pt>
                <c:pt idx="1">
                  <c:v>138</c:v>
                </c:pt>
                <c:pt idx="2">
                  <c:v>45</c:v>
                </c:pt>
              </c:numCache>
            </c:numRef>
          </c:val>
          <c:extLst>
            <c:ext xmlns:c16="http://schemas.microsoft.com/office/drawing/2014/chart" uri="{C3380CC4-5D6E-409C-BE32-E72D297353CC}">
              <c16:uniqueId val="{00000006-D2E8-419C-A780-59F05B6682C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209550</xdr:colOff>
      <xdr:row>17</xdr:row>
      <xdr:rowOff>85725</xdr:rowOff>
    </xdr:from>
    <xdr:to>
      <xdr:col>9</xdr:col>
      <xdr:colOff>465661</xdr:colOff>
      <xdr:row>31</xdr:row>
      <xdr:rowOff>79168</xdr:rowOff>
    </xdr:to>
    <xdr:graphicFrame macro="">
      <xdr:nvGraphicFramePr>
        <xdr:cNvPr id="2" name="Chart 1">
          <a:extLst>
            <a:ext uri="{FF2B5EF4-FFF2-40B4-BE49-F238E27FC236}">
              <a16:creationId xmlns:a16="http://schemas.microsoft.com/office/drawing/2014/main" id="{CB88C2F2-E9DF-438E-82DF-2B2817018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285750</xdr:colOff>
      <xdr:row>8</xdr:row>
      <xdr:rowOff>171450</xdr:rowOff>
    </xdr:from>
    <xdr:to>
      <xdr:col>9</xdr:col>
      <xdr:colOff>482335</xdr:colOff>
      <xdr:row>14</xdr:row>
      <xdr:rowOff>151921</xdr:rowOff>
    </xdr:to>
    <mc:AlternateContent xmlns:mc="http://schemas.openxmlformats.org/markup-compatibility/2006" xmlns:tsle="http://schemas.microsoft.com/office/drawing/2012/timeslicer">
      <mc:Choice Requires="tsle">
        <xdr:graphicFrame macro="">
          <xdr:nvGraphicFramePr>
            <xdr:cNvPr id="4" name="Tanggal Pengeluaran">
              <a:extLst>
                <a:ext uri="{FF2B5EF4-FFF2-40B4-BE49-F238E27FC236}">
                  <a16:creationId xmlns:a16="http://schemas.microsoft.com/office/drawing/2014/main" id="{58FA46F7-118F-6098-6E4B-8840BDF3E02B}"/>
                </a:ext>
              </a:extLst>
            </xdr:cNvPr>
            <xdr:cNvGraphicFramePr/>
          </xdr:nvGraphicFramePr>
          <xdr:xfrm>
            <a:off x="0" y="0"/>
            <a:ext cx="0" cy="0"/>
          </xdr:xfrm>
          <a:graphic>
            <a:graphicData uri="http://schemas.microsoft.com/office/drawing/2012/timeslicer">
              <tsle:timeslicer name="Tanggal Pengeluaran"/>
            </a:graphicData>
          </a:graphic>
        </xdr:graphicFrame>
      </mc:Choice>
      <mc:Fallback xmlns="">
        <xdr:sp macro="" textlink="">
          <xdr:nvSpPr>
            <xdr:cNvPr id="0" name=""/>
            <xdr:cNvSpPr>
              <a:spLocks noTextEdit="1"/>
            </xdr:cNvSpPr>
          </xdr:nvSpPr>
          <xdr:spPr>
            <a:xfrm>
              <a:off x="2114550" y="1638300"/>
              <a:ext cx="4073260" cy="1123471"/>
            </a:xfrm>
            <a:prstGeom prst="rect">
              <a:avLst/>
            </a:prstGeom>
            <a:solidFill>
              <a:prstClr val="white"/>
            </a:solidFill>
            <a:ln w="1">
              <a:solidFill>
                <a:prstClr val="green"/>
              </a:solidFill>
            </a:ln>
          </xdr:spPr>
          <xdr:txBody>
            <a:bodyPr vertOverflow="clip" horzOverflow="clip"/>
            <a:lstStyle/>
            <a:p>
              <a:r>
                <a:rPr lang="id-ID" sz="1100"/>
                <a:t>Timeline: Works in Excel 2013 or higher. Do not move or resize.</a:t>
              </a:r>
            </a:p>
          </xdr:txBody>
        </xdr:sp>
      </mc:Fallback>
    </mc:AlternateContent>
    <xdr:clientData/>
  </xdr:twoCellAnchor>
  <xdr:twoCellAnchor>
    <xdr:from>
      <xdr:col>10</xdr:col>
      <xdr:colOff>247650</xdr:colOff>
      <xdr:row>8</xdr:row>
      <xdr:rowOff>152401</xdr:rowOff>
    </xdr:from>
    <xdr:to>
      <xdr:col>15</xdr:col>
      <xdr:colOff>695325</xdr:colOff>
      <xdr:row>20</xdr:row>
      <xdr:rowOff>167957</xdr:rowOff>
    </xdr:to>
    <xdr:graphicFrame macro="">
      <xdr:nvGraphicFramePr>
        <xdr:cNvPr id="5" name="Chart 4">
          <a:extLst>
            <a:ext uri="{FF2B5EF4-FFF2-40B4-BE49-F238E27FC236}">
              <a16:creationId xmlns:a16="http://schemas.microsoft.com/office/drawing/2014/main" id="{B897A074-647C-4AB5-A73D-0B3886985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238125</xdr:colOff>
      <xdr:row>22</xdr:row>
      <xdr:rowOff>28575</xdr:rowOff>
    </xdr:from>
    <xdr:to>
      <xdr:col>15</xdr:col>
      <xdr:colOff>676275</xdr:colOff>
      <xdr:row>31</xdr:row>
      <xdr:rowOff>76200</xdr:rowOff>
    </xdr:to>
    <xdr:graphicFrame macro="">
      <xdr:nvGraphicFramePr>
        <xdr:cNvPr id="6" name="Chart 5">
          <a:extLst>
            <a:ext uri="{FF2B5EF4-FFF2-40B4-BE49-F238E27FC236}">
              <a16:creationId xmlns:a16="http://schemas.microsoft.com/office/drawing/2014/main" id="{E67C68A4-F8CD-4044-AC8B-95974F0CC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22</xdr:row>
      <xdr:rowOff>76200</xdr:rowOff>
    </xdr:from>
    <xdr:to>
      <xdr:col>3</xdr:col>
      <xdr:colOff>85724</xdr:colOff>
      <xdr:row>31</xdr:row>
      <xdr:rowOff>38100</xdr:rowOff>
    </xdr:to>
    <mc:AlternateContent xmlns:mc="http://schemas.openxmlformats.org/markup-compatibility/2006" xmlns:a14="http://schemas.microsoft.com/office/drawing/2010/main">
      <mc:Choice Requires="a14">
        <xdr:graphicFrame macro="">
          <xdr:nvGraphicFramePr>
            <xdr:cNvPr id="8" name="Jenis Dana">
              <a:extLst>
                <a:ext uri="{FF2B5EF4-FFF2-40B4-BE49-F238E27FC236}">
                  <a16:creationId xmlns:a16="http://schemas.microsoft.com/office/drawing/2014/main" id="{0A10DF88-1F8E-96CA-0D95-5203AC1BAEFE}"/>
                </a:ext>
              </a:extLst>
            </xdr:cNvPr>
            <xdr:cNvGraphicFramePr/>
          </xdr:nvGraphicFramePr>
          <xdr:xfrm>
            <a:off x="0" y="0"/>
            <a:ext cx="0" cy="0"/>
          </xdr:xfrm>
          <a:graphic>
            <a:graphicData uri="http://schemas.microsoft.com/office/drawing/2010/slicer">
              <sle:slicer xmlns:sle="http://schemas.microsoft.com/office/drawing/2010/slicer" name="Jenis Dana"/>
            </a:graphicData>
          </a:graphic>
        </xdr:graphicFrame>
      </mc:Choice>
      <mc:Fallback xmlns="">
        <xdr:sp macro="" textlink="">
          <xdr:nvSpPr>
            <xdr:cNvPr id="0" name=""/>
            <xdr:cNvSpPr>
              <a:spLocks noTextEdit="1"/>
            </xdr:cNvSpPr>
          </xdr:nvSpPr>
          <xdr:spPr>
            <a:xfrm>
              <a:off x="609600" y="4210050"/>
              <a:ext cx="1304924" cy="1676400"/>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8</xdr:row>
      <xdr:rowOff>114300</xdr:rowOff>
    </xdr:from>
    <xdr:to>
      <xdr:col>3</xdr:col>
      <xdr:colOff>114300</xdr:colOff>
      <xdr:row>20</xdr:row>
      <xdr:rowOff>161925</xdr:rowOff>
    </xdr:to>
    <mc:AlternateContent xmlns:mc="http://schemas.openxmlformats.org/markup-compatibility/2006" xmlns:a14="http://schemas.microsoft.com/office/drawing/2010/main">
      <mc:Choice Requires="a14">
        <xdr:graphicFrame macro="">
          <xdr:nvGraphicFramePr>
            <xdr:cNvPr id="13" name="Months (Tanggal Pengeluaran)">
              <a:extLst>
                <a:ext uri="{FF2B5EF4-FFF2-40B4-BE49-F238E27FC236}">
                  <a16:creationId xmlns:a16="http://schemas.microsoft.com/office/drawing/2014/main" id="{E1E09640-BD19-B88C-A67D-83B3A1323306}"/>
                </a:ext>
              </a:extLst>
            </xdr:cNvPr>
            <xdr:cNvGraphicFramePr/>
          </xdr:nvGraphicFramePr>
          <xdr:xfrm>
            <a:off x="0" y="0"/>
            <a:ext cx="0" cy="0"/>
          </xdr:xfrm>
          <a:graphic>
            <a:graphicData uri="http://schemas.microsoft.com/office/drawing/2010/slicer">
              <sle:slicer xmlns:sle="http://schemas.microsoft.com/office/drawing/2010/slicer" name="Months (Tanggal Pengeluaran)"/>
            </a:graphicData>
          </a:graphic>
        </xdr:graphicFrame>
      </mc:Choice>
      <mc:Fallback xmlns="">
        <xdr:sp macro="" textlink="">
          <xdr:nvSpPr>
            <xdr:cNvPr id="0" name=""/>
            <xdr:cNvSpPr>
              <a:spLocks noTextEdit="1"/>
            </xdr:cNvSpPr>
          </xdr:nvSpPr>
          <xdr:spPr>
            <a:xfrm>
              <a:off x="638175" y="1581150"/>
              <a:ext cx="1304925" cy="2333625"/>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9.750723032404" createdVersion="8" refreshedVersion="8" minRefreshableVersion="3" recordCount="185" xr:uid="{7A2345D8-A329-46B1-A11A-1640728B1326}">
  <cacheSource type="worksheet">
    <worksheetSource ref="A1:E1048576" sheet="Dataset"/>
  </cacheSource>
  <cacheFields count="7">
    <cacheField name="Tanggal Pengeluaran" numFmtId="0">
      <sharedItems containsNonDate="0" containsDate="1" containsString="0" containsBlank="1" minDate="2025-01-23T00:00:00" maxDate="2025-06-29T00:00:00" count="129">
        <d v="2025-01-23T00:00:00"/>
        <d v="2025-01-26T00:00:00"/>
        <d v="2025-01-27T00:00:00"/>
        <d v="2025-01-28T00:00:00"/>
        <d v="2025-01-29T00:00:00"/>
        <d v="2025-01-30T00:00:00"/>
        <d v="2025-01-31T00:00:00"/>
        <d v="2025-02-02T00:00:00"/>
        <d v="2025-02-03T00:00:00"/>
        <d v="2025-02-04T00:00:00"/>
        <d v="2025-02-05T00:00:00"/>
        <d v="2025-02-06T00:00:00"/>
        <d v="2025-02-07T00:00:00"/>
        <d v="2025-02-08T00:00:00"/>
        <d v="2025-02-10T00:00:00"/>
        <d v="2025-02-11T00:00:00"/>
        <d v="2025-02-12T00:00:00"/>
        <d v="2025-02-13T00:00:00"/>
        <d v="2025-02-15T00:00:00"/>
        <d v="2025-02-17T00:00:00"/>
        <d v="2025-02-18T00:00:00"/>
        <d v="2025-02-19T00:00:00"/>
        <d v="2025-02-20T00:00:00"/>
        <d v="2025-02-21T00:00:00"/>
        <d v="2025-02-23T00:00:00"/>
        <d v="2025-02-26T00:00:00"/>
        <d v="2025-02-27T00:00:00"/>
        <d v="2025-02-28T00:00:00"/>
        <d v="2025-03-01T00:00:00"/>
        <d v="2025-03-04T00:00:00"/>
        <d v="2025-03-05T00:00:00"/>
        <d v="2025-03-08T00:00:00"/>
        <d v="2025-03-10T00:00:00"/>
        <d v="2025-03-11T00:00:00"/>
        <d v="2025-03-13T00:00:00"/>
        <d v="2025-03-18T00:00:00"/>
        <d v="2025-03-19T00:00:00"/>
        <d v="2025-03-20T00:00:00"/>
        <d v="2025-03-22T00:00:00"/>
        <d v="2025-03-23T00:00:00"/>
        <d v="2025-03-24T00:00:00"/>
        <d v="2025-03-25T00:00:00"/>
        <d v="2025-03-26T00:00:00"/>
        <d v="2025-03-27T00:00:00"/>
        <d v="2025-03-28T00:00:00"/>
        <d v="2025-03-29T00:00:00"/>
        <d v="2025-04-01T00:00:00"/>
        <d v="2025-04-02T00:00:00"/>
        <d v="2025-04-03T00:00:00"/>
        <d v="2025-04-06T00:00:00"/>
        <d v="2025-04-08T00:00:00"/>
        <d v="2025-04-09T00:00:00"/>
        <d v="2025-04-10T00:00:00"/>
        <d v="2025-04-12T00:00:00"/>
        <d v="2025-04-13T00:00:00"/>
        <d v="2025-04-14T00:00:00"/>
        <d v="2025-04-15T00:00:00"/>
        <d v="2025-04-16T00:00:00"/>
        <d v="2025-04-17T00:00:00"/>
        <d v="2025-04-18T00:00:00"/>
        <d v="2025-04-19T00:00:00"/>
        <d v="2025-04-20T00:00:00"/>
        <d v="2025-04-21T00:00:00"/>
        <d v="2025-04-22T00:00:00"/>
        <d v="2025-04-23T00:00:00"/>
        <d v="2025-04-24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m/>
      </sharedItems>
      <fieldGroup par="6"/>
    </cacheField>
    <cacheField name="Jenis Dana" numFmtId="0">
      <sharedItems containsBlank="1" count="4">
        <s v="Investasi"/>
        <s v="Tambahan"/>
        <s v="Pokok"/>
        <m/>
      </sharedItems>
    </cacheField>
    <cacheField name="Toko" numFmtId="0">
      <sharedItems containsBlank="1" count="16">
        <s v="PT Pegadaian Galeri 24"/>
        <s v="Warung"/>
        <s v="Cafe"/>
        <s v="Pertamina"/>
        <s v="AWW Gringging"/>
        <s v="Alfamart"/>
        <s v="Pasar"/>
        <s v="Lapis Surabaya"/>
        <s v="Indomaret"/>
        <s v="Minimarket"/>
        <s v="Toko Buku"/>
        <s v="Lain-lain"/>
        <s v="Indosat"/>
        <s v="Admin ATM"/>
        <s v="Telkomsel"/>
        <m/>
      </sharedItems>
    </cacheField>
    <cacheField name="Nama Barang" numFmtId="0">
      <sharedItems containsBlank="1" count="22">
        <s v="Investasi"/>
        <s v="Makan"/>
        <s v="Kopi"/>
        <s v="Jajan"/>
        <s v="Transportasi Bensin"/>
        <s v="Tas"/>
        <s v="Kebutuhan Sehari-hari"/>
        <s v="Sayur dan Buah"/>
        <s v="Belanja Harian"/>
        <s v="Snack"/>
        <s v="ATK"/>
        <s v="Souvenir wisuda aldo"/>
        <s v="Kuota"/>
        <s v="Admin ATM"/>
        <s v="Magang Liburan"/>
        <s v="Dana Darurat Bulanan"/>
        <s v="Liburan"/>
        <s v="Ganti Oli"/>
        <s v="Galon"/>
        <s v="Jersey"/>
        <s v="Paspor"/>
        <m/>
      </sharedItems>
    </cacheField>
    <cacheField name="Harga Satuan" numFmtId="8">
      <sharedItems containsString="0" containsBlank="1" containsNumber="1" containsInteger="1" minValue="3000" maxValue="1581000" count="61">
        <n v="1581000"/>
        <n v="62000"/>
        <n v="20000"/>
        <n v="25000"/>
        <n v="10000"/>
        <n v="6000"/>
        <n v="48500"/>
        <n v="65000"/>
        <n v="38000"/>
        <n v="40000"/>
        <n v="35000"/>
        <n v="36000"/>
        <n v="55000"/>
        <n v="60000"/>
        <n v="14000"/>
        <n v="75000"/>
        <n v="45000"/>
        <n v="16000"/>
        <n v="30000"/>
        <n v="19000"/>
        <n v="17000"/>
        <n v="50000"/>
        <n v="18000"/>
        <n v="27000"/>
        <n v="5000"/>
        <n v="23000"/>
        <n v="37000"/>
        <n v="12000"/>
        <n v="13500"/>
        <n v="22000"/>
        <n v="100000"/>
        <n v="8000"/>
        <n v="8500"/>
        <n v="15000"/>
        <n v="51000"/>
        <n v="24000"/>
        <n v="85000"/>
        <n v="130000"/>
        <n v="34500"/>
        <n v="28000"/>
        <n v="14500"/>
        <n v="78200"/>
        <n v="48000"/>
        <n v="47500"/>
        <n v="102000"/>
        <n v="58000"/>
        <n v="21000"/>
        <n v="19500"/>
        <n v="3000"/>
        <n v="103000"/>
        <n v="13000"/>
        <n v="34800"/>
        <n v="32000"/>
        <n v="29500"/>
        <n v="38500"/>
        <n v="22500"/>
        <n v="34188"/>
        <n v="70000"/>
        <n v="26000"/>
        <n v="650000"/>
        <m/>
      </sharedItems>
    </cacheField>
    <cacheField name="Days (Tanggal Pengeluaran)" numFmtId="0" databaseField="0">
      <fieldGroup base="0">
        <rangePr groupBy="days" startDate="2025-01-23T00:00:00" endDate="2025-06-29T00:00:00"/>
        <groupItems count="368">
          <s v="&lt;23/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6/2025"/>
        </groupItems>
      </fieldGroup>
    </cacheField>
    <cacheField name="Months (Tanggal Pengeluaran)" numFmtId="0" databaseField="0">
      <fieldGroup base="0">
        <rangePr groupBy="months" startDate="2025-01-23T00:00:00" endDate="2025-06-29T00:00:00"/>
        <groupItems count="14">
          <s v="&lt;23/01/2025"/>
          <s v="Jan"/>
          <s v="Feb"/>
          <s v="Mar"/>
          <s v="Apr"/>
          <s v="May"/>
          <s v="Jun"/>
          <s v="Jul"/>
          <s v="Aug"/>
          <s v="Sep"/>
          <s v="Oct"/>
          <s v="Nov"/>
          <s v="Dec"/>
          <s v="&gt;29/06/2025"/>
        </groupItems>
      </fieldGroup>
    </cacheField>
  </cacheFields>
  <extLst>
    <ext xmlns:x14="http://schemas.microsoft.com/office/spreadsheetml/2009/9/main" uri="{725AE2AE-9491-48be-B2B4-4EB974FC3084}">
      <x14:pivotCacheDefinition pivotCacheId="21462759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9.788709259257" createdVersion="8" refreshedVersion="8" minRefreshableVersion="3" recordCount="184" xr:uid="{E3404516-C519-42A7-9E09-2A223CB2F376}">
  <cacheSource type="worksheet">
    <worksheetSource name="Table1"/>
  </cacheSource>
  <cacheFields count="5">
    <cacheField name="Tanggal Pengeluaran" numFmtId="164">
      <sharedItems containsSemiMixedTypes="0" containsNonDate="0" containsDate="1" containsString="0" minDate="2025-01-23T00:00:00" maxDate="2025-06-29T00:00:00"/>
    </cacheField>
    <cacheField name="Jenis Dana" numFmtId="0">
      <sharedItems count="3">
        <s v="Investasi"/>
        <s v="Tambahan"/>
        <s v="Pokok"/>
      </sharedItems>
    </cacheField>
    <cacheField name="Toko" numFmtId="0">
      <sharedItems/>
    </cacheField>
    <cacheField name="Nama Barang" numFmtId="0">
      <sharedItems/>
    </cacheField>
    <cacheField name="Harga Satuan" numFmtId="8">
      <sharedItems containsSemiMixedTypes="0" containsString="0" containsNumber="1" containsInteger="1" minValue="3000" maxValue="1581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5">
  <r>
    <x v="0"/>
    <x v="0"/>
    <x v="0"/>
    <x v="0"/>
    <x v="0"/>
  </r>
  <r>
    <x v="1"/>
    <x v="1"/>
    <x v="1"/>
    <x v="1"/>
    <x v="1"/>
  </r>
  <r>
    <x v="2"/>
    <x v="1"/>
    <x v="2"/>
    <x v="2"/>
    <x v="2"/>
  </r>
  <r>
    <x v="3"/>
    <x v="1"/>
    <x v="2"/>
    <x v="2"/>
    <x v="3"/>
  </r>
  <r>
    <x v="4"/>
    <x v="1"/>
    <x v="1"/>
    <x v="3"/>
    <x v="4"/>
  </r>
  <r>
    <x v="5"/>
    <x v="1"/>
    <x v="1"/>
    <x v="3"/>
    <x v="5"/>
  </r>
  <r>
    <x v="6"/>
    <x v="2"/>
    <x v="3"/>
    <x v="4"/>
    <x v="4"/>
  </r>
  <r>
    <x v="7"/>
    <x v="1"/>
    <x v="4"/>
    <x v="5"/>
    <x v="6"/>
  </r>
  <r>
    <x v="8"/>
    <x v="2"/>
    <x v="5"/>
    <x v="6"/>
    <x v="7"/>
  </r>
  <r>
    <x v="9"/>
    <x v="2"/>
    <x v="3"/>
    <x v="4"/>
    <x v="4"/>
  </r>
  <r>
    <x v="10"/>
    <x v="1"/>
    <x v="6"/>
    <x v="3"/>
    <x v="8"/>
  </r>
  <r>
    <x v="11"/>
    <x v="2"/>
    <x v="6"/>
    <x v="7"/>
    <x v="9"/>
  </r>
  <r>
    <x v="11"/>
    <x v="2"/>
    <x v="5"/>
    <x v="6"/>
    <x v="10"/>
  </r>
  <r>
    <x v="12"/>
    <x v="1"/>
    <x v="7"/>
    <x v="3"/>
    <x v="11"/>
  </r>
  <r>
    <x v="13"/>
    <x v="2"/>
    <x v="6"/>
    <x v="7"/>
    <x v="12"/>
  </r>
  <r>
    <x v="14"/>
    <x v="2"/>
    <x v="8"/>
    <x v="8"/>
    <x v="13"/>
  </r>
  <r>
    <x v="15"/>
    <x v="2"/>
    <x v="8"/>
    <x v="8"/>
    <x v="13"/>
  </r>
  <r>
    <x v="15"/>
    <x v="1"/>
    <x v="9"/>
    <x v="9"/>
    <x v="14"/>
  </r>
  <r>
    <x v="16"/>
    <x v="1"/>
    <x v="10"/>
    <x v="10"/>
    <x v="10"/>
  </r>
  <r>
    <x v="17"/>
    <x v="2"/>
    <x v="8"/>
    <x v="8"/>
    <x v="15"/>
  </r>
  <r>
    <x v="18"/>
    <x v="2"/>
    <x v="6"/>
    <x v="7"/>
    <x v="16"/>
  </r>
  <r>
    <x v="19"/>
    <x v="2"/>
    <x v="8"/>
    <x v="8"/>
    <x v="16"/>
  </r>
  <r>
    <x v="20"/>
    <x v="2"/>
    <x v="1"/>
    <x v="1"/>
    <x v="17"/>
  </r>
  <r>
    <x v="21"/>
    <x v="2"/>
    <x v="8"/>
    <x v="8"/>
    <x v="18"/>
  </r>
  <r>
    <x v="22"/>
    <x v="2"/>
    <x v="3"/>
    <x v="4"/>
    <x v="16"/>
  </r>
  <r>
    <x v="23"/>
    <x v="1"/>
    <x v="1"/>
    <x v="3"/>
    <x v="3"/>
  </r>
  <r>
    <x v="24"/>
    <x v="2"/>
    <x v="3"/>
    <x v="4"/>
    <x v="16"/>
  </r>
  <r>
    <x v="25"/>
    <x v="2"/>
    <x v="6"/>
    <x v="7"/>
    <x v="18"/>
  </r>
  <r>
    <x v="26"/>
    <x v="1"/>
    <x v="2"/>
    <x v="2"/>
    <x v="3"/>
  </r>
  <r>
    <x v="27"/>
    <x v="1"/>
    <x v="9"/>
    <x v="9"/>
    <x v="18"/>
  </r>
  <r>
    <x v="27"/>
    <x v="1"/>
    <x v="2"/>
    <x v="2"/>
    <x v="3"/>
  </r>
  <r>
    <x v="28"/>
    <x v="2"/>
    <x v="5"/>
    <x v="6"/>
    <x v="18"/>
  </r>
  <r>
    <x v="29"/>
    <x v="1"/>
    <x v="2"/>
    <x v="2"/>
    <x v="17"/>
  </r>
  <r>
    <x v="29"/>
    <x v="2"/>
    <x v="1"/>
    <x v="1"/>
    <x v="10"/>
  </r>
  <r>
    <x v="30"/>
    <x v="2"/>
    <x v="5"/>
    <x v="6"/>
    <x v="9"/>
  </r>
  <r>
    <x v="30"/>
    <x v="1"/>
    <x v="1"/>
    <x v="3"/>
    <x v="3"/>
  </r>
  <r>
    <x v="31"/>
    <x v="2"/>
    <x v="3"/>
    <x v="4"/>
    <x v="3"/>
  </r>
  <r>
    <x v="31"/>
    <x v="2"/>
    <x v="3"/>
    <x v="4"/>
    <x v="18"/>
  </r>
  <r>
    <x v="32"/>
    <x v="2"/>
    <x v="5"/>
    <x v="6"/>
    <x v="12"/>
  </r>
  <r>
    <x v="32"/>
    <x v="2"/>
    <x v="1"/>
    <x v="1"/>
    <x v="9"/>
  </r>
  <r>
    <x v="33"/>
    <x v="2"/>
    <x v="1"/>
    <x v="1"/>
    <x v="3"/>
  </r>
  <r>
    <x v="34"/>
    <x v="2"/>
    <x v="5"/>
    <x v="6"/>
    <x v="13"/>
  </r>
  <r>
    <x v="35"/>
    <x v="1"/>
    <x v="9"/>
    <x v="9"/>
    <x v="19"/>
  </r>
  <r>
    <x v="36"/>
    <x v="1"/>
    <x v="2"/>
    <x v="2"/>
    <x v="2"/>
  </r>
  <r>
    <x v="36"/>
    <x v="2"/>
    <x v="5"/>
    <x v="6"/>
    <x v="16"/>
  </r>
  <r>
    <x v="37"/>
    <x v="2"/>
    <x v="3"/>
    <x v="4"/>
    <x v="16"/>
  </r>
  <r>
    <x v="37"/>
    <x v="2"/>
    <x v="6"/>
    <x v="7"/>
    <x v="12"/>
  </r>
  <r>
    <x v="38"/>
    <x v="2"/>
    <x v="3"/>
    <x v="4"/>
    <x v="10"/>
  </r>
  <r>
    <x v="39"/>
    <x v="1"/>
    <x v="2"/>
    <x v="2"/>
    <x v="3"/>
  </r>
  <r>
    <x v="40"/>
    <x v="2"/>
    <x v="8"/>
    <x v="8"/>
    <x v="7"/>
  </r>
  <r>
    <x v="40"/>
    <x v="2"/>
    <x v="1"/>
    <x v="1"/>
    <x v="20"/>
  </r>
  <r>
    <x v="41"/>
    <x v="2"/>
    <x v="1"/>
    <x v="1"/>
    <x v="21"/>
  </r>
  <r>
    <x v="42"/>
    <x v="1"/>
    <x v="1"/>
    <x v="3"/>
    <x v="22"/>
  </r>
  <r>
    <x v="43"/>
    <x v="2"/>
    <x v="1"/>
    <x v="1"/>
    <x v="23"/>
  </r>
  <r>
    <x v="44"/>
    <x v="2"/>
    <x v="1"/>
    <x v="1"/>
    <x v="18"/>
  </r>
  <r>
    <x v="45"/>
    <x v="2"/>
    <x v="8"/>
    <x v="8"/>
    <x v="18"/>
  </r>
  <r>
    <x v="45"/>
    <x v="2"/>
    <x v="6"/>
    <x v="7"/>
    <x v="9"/>
  </r>
  <r>
    <x v="46"/>
    <x v="1"/>
    <x v="9"/>
    <x v="9"/>
    <x v="18"/>
  </r>
  <r>
    <x v="47"/>
    <x v="1"/>
    <x v="1"/>
    <x v="3"/>
    <x v="24"/>
  </r>
  <r>
    <x v="47"/>
    <x v="2"/>
    <x v="3"/>
    <x v="4"/>
    <x v="9"/>
  </r>
  <r>
    <x v="48"/>
    <x v="1"/>
    <x v="1"/>
    <x v="3"/>
    <x v="3"/>
  </r>
  <r>
    <x v="49"/>
    <x v="1"/>
    <x v="9"/>
    <x v="9"/>
    <x v="3"/>
  </r>
  <r>
    <x v="49"/>
    <x v="2"/>
    <x v="6"/>
    <x v="7"/>
    <x v="7"/>
  </r>
  <r>
    <x v="50"/>
    <x v="2"/>
    <x v="5"/>
    <x v="6"/>
    <x v="21"/>
  </r>
  <r>
    <x v="50"/>
    <x v="2"/>
    <x v="8"/>
    <x v="8"/>
    <x v="12"/>
  </r>
  <r>
    <x v="51"/>
    <x v="2"/>
    <x v="1"/>
    <x v="1"/>
    <x v="25"/>
  </r>
  <r>
    <x v="52"/>
    <x v="2"/>
    <x v="6"/>
    <x v="7"/>
    <x v="13"/>
  </r>
  <r>
    <x v="53"/>
    <x v="2"/>
    <x v="8"/>
    <x v="8"/>
    <x v="12"/>
  </r>
  <r>
    <x v="54"/>
    <x v="2"/>
    <x v="1"/>
    <x v="3"/>
    <x v="26"/>
  </r>
  <r>
    <x v="54"/>
    <x v="1"/>
    <x v="11"/>
    <x v="11"/>
    <x v="13"/>
  </r>
  <r>
    <x v="55"/>
    <x v="2"/>
    <x v="1"/>
    <x v="1"/>
    <x v="27"/>
  </r>
  <r>
    <x v="55"/>
    <x v="1"/>
    <x v="1"/>
    <x v="3"/>
    <x v="4"/>
  </r>
  <r>
    <x v="55"/>
    <x v="2"/>
    <x v="1"/>
    <x v="1"/>
    <x v="27"/>
  </r>
  <r>
    <x v="56"/>
    <x v="2"/>
    <x v="1"/>
    <x v="1"/>
    <x v="27"/>
  </r>
  <r>
    <x v="57"/>
    <x v="2"/>
    <x v="1"/>
    <x v="3"/>
    <x v="28"/>
  </r>
  <r>
    <x v="57"/>
    <x v="2"/>
    <x v="1"/>
    <x v="1"/>
    <x v="29"/>
  </r>
  <r>
    <x v="57"/>
    <x v="1"/>
    <x v="1"/>
    <x v="4"/>
    <x v="2"/>
  </r>
  <r>
    <x v="57"/>
    <x v="2"/>
    <x v="12"/>
    <x v="12"/>
    <x v="30"/>
  </r>
  <r>
    <x v="57"/>
    <x v="2"/>
    <x v="13"/>
    <x v="13"/>
    <x v="31"/>
  </r>
  <r>
    <x v="58"/>
    <x v="1"/>
    <x v="11"/>
    <x v="14"/>
    <x v="30"/>
  </r>
  <r>
    <x v="58"/>
    <x v="2"/>
    <x v="1"/>
    <x v="1"/>
    <x v="27"/>
  </r>
  <r>
    <x v="59"/>
    <x v="1"/>
    <x v="1"/>
    <x v="3"/>
    <x v="32"/>
  </r>
  <r>
    <x v="59"/>
    <x v="2"/>
    <x v="3"/>
    <x v="4"/>
    <x v="3"/>
  </r>
  <r>
    <x v="59"/>
    <x v="2"/>
    <x v="1"/>
    <x v="1"/>
    <x v="33"/>
  </r>
  <r>
    <x v="60"/>
    <x v="2"/>
    <x v="1"/>
    <x v="1"/>
    <x v="16"/>
  </r>
  <r>
    <x v="61"/>
    <x v="2"/>
    <x v="1"/>
    <x v="1"/>
    <x v="34"/>
  </r>
  <r>
    <x v="62"/>
    <x v="2"/>
    <x v="3"/>
    <x v="1"/>
    <x v="9"/>
  </r>
  <r>
    <x v="63"/>
    <x v="2"/>
    <x v="1"/>
    <x v="1"/>
    <x v="35"/>
  </r>
  <r>
    <x v="63"/>
    <x v="2"/>
    <x v="3"/>
    <x v="4"/>
    <x v="3"/>
  </r>
  <r>
    <x v="64"/>
    <x v="2"/>
    <x v="1"/>
    <x v="1"/>
    <x v="14"/>
  </r>
  <r>
    <x v="64"/>
    <x v="1"/>
    <x v="11"/>
    <x v="15"/>
    <x v="36"/>
  </r>
  <r>
    <x v="65"/>
    <x v="2"/>
    <x v="1"/>
    <x v="1"/>
    <x v="9"/>
  </r>
  <r>
    <x v="66"/>
    <x v="1"/>
    <x v="11"/>
    <x v="16"/>
    <x v="37"/>
  </r>
  <r>
    <x v="67"/>
    <x v="2"/>
    <x v="1"/>
    <x v="1"/>
    <x v="23"/>
  </r>
  <r>
    <x v="67"/>
    <x v="2"/>
    <x v="3"/>
    <x v="4"/>
    <x v="3"/>
  </r>
  <r>
    <x v="68"/>
    <x v="2"/>
    <x v="1"/>
    <x v="1"/>
    <x v="38"/>
  </r>
  <r>
    <x v="69"/>
    <x v="2"/>
    <x v="1"/>
    <x v="1"/>
    <x v="39"/>
  </r>
  <r>
    <x v="69"/>
    <x v="2"/>
    <x v="1"/>
    <x v="1"/>
    <x v="39"/>
  </r>
  <r>
    <x v="70"/>
    <x v="1"/>
    <x v="10"/>
    <x v="10"/>
    <x v="3"/>
  </r>
  <r>
    <x v="71"/>
    <x v="2"/>
    <x v="1"/>
    <x v="1"/>
    <x v="8"/>
  </r>
  <r>
    <x v="72"/>
    <x v="2"/>
    <x v="1"/>
    <x v="1"/>
    <x v="11"/>
  </r>
  <r>
    <x v="72"/>
    <x v="2"/>
    <x v="3"/>
    <x v="4"/>
    <x v="3"/>
  </r>
  <r>
    <x v="73"/>
    <x v="1"/>
    <x v="11"/>
    <x v="15"/>
    <x v="40"/>
  </r>
  <r>
    <x v="73"/>
    <x v="1"/>
    <x v="11"/>
    <x v="15"/>
    <x v="41"/>
  </r>
  <r>
    <x v="73"/>
    <x v="2"/>
    <x v="1"/>
    <x v="1"/>
    <x v="42"/>
  </r>
  <r>
    <x v="74"/>
    <x v="2"/>
    <x v="1"/>
    <x v="1"/>
    <x v="21"/>
  </r>
  <r>
    <x v="75"/>
    <x v="2"/>
    <x v="1"/>
    <x v="1"/>
    <x v="43"/>
  </r>
  <r>
    <x v="76"/>
    <x v="2"/>
    <x v="3"/>
    <x v="4"/>
    <x v="3"/>
  </r>
  <r>
    <x v="76"/>
    <x v="2"/>
    <x v="1"/>
    <x v="1"/>
    <x v="10"/>
  </r>
  <r>
    <x v="77"/>
    <x v="1"/>
    <x v="11"/>
    <x v="15"/>
    <x v="44"/>
  </r>
  <r>
    <x v="77"/>
    <x v="2"/>
    <x v="1"/>
    <x v="1"/>
    <x v="3"/>
  </r>
  <r>
    <x v="78"/>
    <x v="2"/>
    <x v="1"/>
    <x v="1"/>
    <x v="33"/>
  </r>
  <r>
    <x v="79"/>
    <x v="2"/>
    <x v="1"/>
    <x v="1"/>
    <x v="23"/>
  </r>
  <r>
    <x v="79"/>
    <x v="2"/>
    <x v="11"/>
    <x v="17"/>
    <x v="45"/>
  </r>
  <r>
    <x v="80"/>
    <x v="2"/>
    <x v="1"/>
    <x v="1"/>
    <x v="25"/>
  </r>
  <r>
    <x v="80"/>
    <x v="2"/>
    <x v="1"/>
    <x v="12"/>
    <x v="46"/>
  </r>
  <r>
    <x v="81"/>
    <x v="2"/>
    <x v="1"/>
    <x v="1"/>
    <x v="3"/>
  </r>
  <r>
    <x v="81"/>
    <x v="2"/>
    <x v="14"/>
    <x v="18"/>
    <x v="5"/>
  </r>
  <r>
    <x v="82"/>
    <x v="2"/>
    <x v="3"/>
    <x v="4"/>
    <x v="3"/>
  </r>
  <r>
    <x v="82"/>
    <x v="2"/>
    <x v="1"/>
    <x v="1"/>
    <x v="47"/>
  </r>
  <r>
    <x v="83"/>
    <x v="2"/>
    <x v="1"/>
    <x v="1"/>
    <x v="2"/>
  </r>
  <r>
    <x v="84"/>
    <x v="1"/>
    <x v="11"/>
    <x v="15"/>
    <x v="48"/>
  </r>
  <r>
    <x v="84"/>
    <x v="1"/>
    <x v="1"/>
    <x v="3"/>
    <x v="24"/>
  </r>
  <r>
    <x v="84"/>
    <x v="2"/>
    <x v="1"/>
    <x v="1"/>
    <x v="4"/>
  </r>
  <r>
    <x v="84"/>
    <x v="2"/>
    <x v="1"/>
    <x v="1"/>
    <x v="2"/>
  </r>
  <r>
    <x v="85"/>
    <x v="2"/>
    <x v="12"/>
    <x v="12"/>
    <x v="49"/>
  </r>
  <r>
    <x v="85"/>
    <x v="2"/>
    <x v="1"/>
    <x v="1"/>
    <x v="19"/>
  </r>
  <r>
    <x v="86"/>
    <x v="2"/>
    <x v="1"/>
    <x v="1"/>
    <x v="2"/>
  </r>
  <r>
    <x v="87"/>
    <x v="2"/>
    <x v="1"/>
    <x v="1"/>
    <x v="25"/>
  </r>
  <r>
    <x v="88"/>
    <x v="1"/>
    <x v="1"/>
    <x v="3"/>
    <x v="50"/>
  </r>
  <r>
    <x v="88"/>
    <x v="2"/>
    <x v="1"/>
    <x v="1"/>
    <x v="23"/>
  </r>
  <r>
    <x v="89"/>
    <x v="1"/>
    <x v="1"/>
    <x v="3"/>
    <x v="50"/>
  </r>
  <r>
    <x v="89"/>
    <x v="2"/>
    <x v="1"/>
    <x v="1"/>
    <x v="23"/>
  </r>
  <r>
    <x v="90"/>
    <x v="2"/>
    <x v="1"/>
    <x v="1"/>
    <x v="23"/>
  </r>
  <r>
    <x v="90"/>
    <x v="2"/>
    <x v="3"/>
    <x v="4"/>
    <x v="3"/>
  </r>
  <r>
    <x v="91"/>
    <x v="2"/>
    <x v="1"/>
    <x v="1"/>
    <x v="35"/>
  </r>
  <r>
    <x v="91"/>
    <x v="2"/>
    <x v="1"/>
    <x v="3"/>
    <x v="4"/>
  </r>
  <r>
    <x v="92"/>
    <x v="2"/>
    <x v="1"/>
    <x v="3"/>
    <x v="18"/>
  </r>
  <r>
    <x v="93"/>
    <x v="2"/>
    <x v="1"/>
    <x v="1"/>
    <x v="33"/>
  </r>
  <r>
    <x v="93"/>
    <x v="2"/>
    <x v="1"/>
    <x v="1"/>
    <x v="3"/>
  </r>
  <r>
    <x v="94"/>
    <x v="2"/>
    <x v="3"/>
    <x v="4"/>
    <x v="3"/>
  </r>
  <r>
    <x v="95"/>
    <x v="2"/>
    <x v="1"/>
    <x v="18"/>
    <x v="51"/>
  </r>
  <r>
    <x v="95"/>
    <x v="2"/>
    <x v="1"/>
    <x v="1"/>
    <x v="52"/>
  </r>
  <r>
    <x v="95"/>
    <x v="2"/>
    <x v="1"/>
    <x v="1"/>
    <x v="25"/>
  </r>
  <r>
    <x v="96"/>
    <x v="1"/>
    <x v="9"/>
    <x v="9"/>
    <x v="18"/>
  </r>
  <r>
    <x v="97"/>
    <x v="2"/>
    <x v="1"/>
    <x v="1"/>
    <x v="14"/>
  </r>
  <r>
    <x v="98"/>
    <x v="1"/>
    <x v="11"/>
    <x v="15"/>
    <x v="2"/>
  </r>
  <r>
    <x v="99"/>
    <x v="2"/>
    <x v="1"/>
    <x v="1"/>
    <x v="53"/>
  </r>
  <r>
    <x v="100"/>
    <x v="2"/>
    <x v="1"/>
    <x v="1"/>
    <x v="23"/>
  </r>
  <r>
    <x v="101"/>
    <x v="2"/>
    <x v="3"/>
    <x v="4"/>
    <x v="3"/>
  </r>
  <r>
    <x v="101"/>
    <x v="2"/>
    <x v="1"/>
    <x v="1"/>
    <x v="18"/>
  </r>
  <r>
    <x v="102"/>
    <x v="2"/>
    <x v="1"/>
    <x v="1"/>
    <x v="23"/>
  </r>
  <r>
    <x v="103"/>
    <x v="2"/>
    <x v="1"/>
    <x v="1"/>
    <x v="11"/>
  </r>
  <r>
    <x v="104"/>
    <x v="2"/>
    <x v="1"/>
    <x v="1"/>
    <x v="10"/>
  </r>
  <r>
    <x v="105"/>
    <x v="1"/>
    <x v="11"/>
    <x v="19"/>
    <x v="54"/>
  </r>
  <r>
    <x v="105"/>
    <x v="2"/>
    <x v="1"/>
    <x v="1"/>
    <x v="10"/>
  </r>
  <r>
    <x v="106"/>
    <x v="2"/>
    <x v="1"/>
    <x v="1"/>
    <x v="10"/>
  </r>
  <r>
    <x v="107"/>
    <x v="2"/>
    <x v="14"/>
    <x v="1"/>
    <x v="50"/>
  </r>
  <r>
    <x v="107"/>
    <x v="2"/>
    <x v="1"/>
    <x v="1"/>
    <x v="55"/>
  </r>
  <r>
    <x v="108"/>
    <x v="1"/>
    <x v="11"/>
    <x v="3"/>
    <x v="12"/>
  </r>
  <r>
    <x v="108"/>
    <x v="2"/>
    <x v="3"/>
    <x v="4"/>
    <x v="3"/>
  </r>
  <r>
    <x v="108"/>
    <x v="2"/>
    <x v="1"/>
    <x v="3"/>
    <x v="56"/>
  </r>
  <r>
    <x v="109"/>
    <x v="2"/>
    <x v="1"/>
    <x v="1"/>
    <x v="33"/>
  </r>
  <r>
    <x v="110"/>
    <x v="2"/>
    <x v="1"/>
    <x v="1"/>
    <x v="18"/>
  </r>
  <r>
    <x v="111"/>
    <x v="2"/>
    <x v="1"/>
    <x v="1"/>
    <x v="3"/>
  </r>
  <r>
    <x v="112"/>
    <x v="2"/>
    <x v="1"/>
    <x v="1"/>
    <x v="10"/>
  </r>
  <r>
    <x v="113"/>
    <x v="2"/>
    <x v="1"/>
    <x v="1"/>
    <x v="10"/>
  </r>
  <r>
    <x v="114"/>
    <x v="2"/>
    <x v="14"/>
    <x v="12"/>
    <x v="21"/>
  </r>
  <r>
    <x v="114"/>
    <x v="2"/>
    <x v="1"/>
    <x v="1"/>
    <x v="9"/>
  </r>
  <r>
    <x v="115"/>
    <x v="2"/>
    <x v="1"/>
    <x v="1"/>
    <x v="39"/>
  </r>
  <r>
    <x v="116"/>
    <x v="2"/>
    <x v="1"/>
    <x v="1"/>
    <x v="10"/>
  </r>
  <r>
    <x v="117"/>
    <x v="2"/>
    <x v="5"/>
    <x v="6"/>
    <x v="57"/>
  </r>
  <r>
    <x v="118"/>
    <x v="2"/>
    <x v="1"/>
    <x v="1"/>
    <x v="9"/>
  </r>
  <r>
    <x v="119"/>
    <x v="2"/>
    <x v="1"/>
    <x v="1"/>
    <x v="9"/>
  </r>
  <r>
    <x v="120"/>
    <x v="2"/>
    <x v="6"/>
    <x v="7"/>
    <x v="16"/>
  </r>
  <r>
    <x v="121"/>
    <x v="2"/>
    <x v="1"/>
    <x v="1"/>
    <x v="58"/>
  </r>
  <r>
    <x v="121"/>
    <x v="1"/>
    <x v="11"/>
    <x v="15"/>
    <x v="2"/>
  </r>
  <r>
    <x v="122"/>
    <x v="2"/>
    <x v="1"/>
    <x v="1"/>
    <x v="10"/>
  </r>
  <r>
    <x v="123"/>
    <x v="2"/>
    <x v="1"/>
    <x v="1"/>
    <x v="18"/>
  </r>
  <r>
    <x v="124"/>
    <x v="2"/>
    <x v="1"/>
    <x v="1"/>
    <x v="18"/>
  </r>
  <r>
    <x v="125"/>
    <x v="2"/>
    <x v="1"/>
    <x v="1"/>
    <x v="10"/>
  </r>
  <r>
    <x v="126"/>
    <x v="2"/>
    <x v="1"/>
    <x v="1"/>
    <x v="9"/>
  </r>
  <r>
    <x v="127"/>
    <x v="2"/>
    <x v="1"/>
    <x v="1"/>
    <x v="18"/>
  </r>
  <r>
    <x v="127"/>
    <x v="1"/>
    <x v="11"/>
    <x v="20"/>
    <x v="59"/>
  </r>
  <r>
    <x v="128"/>
    <x v="3"/>
    <x v="15"/>
    <x v="21"/>
    <x v="6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4">
  <r>
    <d v="2025-01-23T00:00:00"/>
    <x v="0"/>
    <s v="PT Pegadaian Galeri 24"/>
    <s v="Investasi"/>
    <n v="1581000"/>
  </r>
  <r>
    <d v="2025-01-26T00:00:00"/>
    <x v="1"/>
    <s v="Warung"/>
    <s v="Makan"/>
    <n v="62000"/>
  </r>
  <r>
    <d v="2025-01-27T00:00:00"/>
    <x v="1"/>
    <s v="Cafe"/>
    <s v="Kopi"/>
    <n v="20000"/>
  </r>
  <r>
    <d v="2025-01-28T00:00:00"/>
    <x v="1"/>
    <s v="Cafe"/>
    <s v="Kopi"/>
    <n v="25000"/>
  </r>
  <r>
    <d v="2025-01-29T00:00:00"/>
    <x v="1"/>
    <s v="Warung"/>
    <s v="Jajan"/>
    <n v="10000"/>
  </r>
  <r>
    <d v="2025-01-30T00:00:00"/>
    <x v="1"/>
    <s v="Warung"/>
    <s v="Jajan"/>
    <n v="6000"/>
  </r>
  <r>
    <d v="2025-01-31T00:00:00"/>
    <x v="2"/>
    <s v="Pertamina"/>
    <s v="Transportasi Bensin"/>
    <n v="10000"/>
  </r>
  <r>
    <d v="2025-02-02T00:00:00"/>
    <x v="1"/>
    <s v="AWW Gringging"/>
    <s v="Tas"/>
    <n v="48500"/>
  </r>
  <r>
    <d v="2025-02-03T00:00:00"/>
    <x v="2"/>
    <s v="Alfamart"/>
    <s v="Kebutuhan Sehari-hari"/>
    <n v="65000"/>
  </r>
  <r>
    <d v="2025-02-04T00:00:00"/>
    <x v="2"/>
    <s v="Pertamina"/>
    <s v="Transportasi Bensin"/>
    <n v="10000"/>
  </r>
  <r>
    <d v="2025-02-05T00:00:00"/>
    <x v="1"/>
    <s v="Pasar"/>
    <s v="Jajan"/>
    <n v="38000"/>
  </r>
  <r>
    <d v="2025-02-06T00:00:00"/>
    <x v="2"/>
    <s v="Pasar"/>
    <s v="Sayur dan Buah"/>
    <n v="40000"/>
  </r>
  <r>
    <d v="2025-02-06T00:00:00"/>
    <x v="2"/>
    <s v="Alfamart"/>
    <s v="Kebutuhan Sehari-hari"/>
    <n v="35000"/>
  </r>
  <r>
    <d v="2025-02-07T00:00:00"/>
    <x v="1"/>
    <s v="Lapis Surabaya"/>
    <s v="Jajan"/>
    <n v="36000"/>
  </r>
  <r>
    <d v="2025-02-08T00:00:00"/>
    <x v="2"/>
    <s v="Pasar"/>
    <s v="Sayur dan Buah"/>
    <n v="55000"/>
  </r>
  <r>
    <d v="2025-02-10T00:00:00"/>
    <x v="2"/>
    <s v="Indomaret"/>
    <s v="Belanja Harian"/>
    <n v="60000"/>
  </r>
  <r>
    <d v="2025-02-11T00:00:00"/>
    <x v="2"/>
    <s v="Indomaret"/>
    <s v="Belanja Harian"/>
    <n v="60000"/>
  </r>
  <r>
    <d v="2025-02-11T00:00:00"/>
    <x v="1"/>
    <s v="Minimarket"/>
    <s v="Snack"/>
    <n v="14000"/>
  </r>
  <r>
    <d v="2025-02-12T00:00:00"/>
    <x v="1"/>
    <s v="Toko Buku"/>
    <s v="ATK"/>
    <n v="35000"/>
  </r>
  <r>
    <d v="2025-02-13T00:00:00"/>
    <x v="2"/>
    <s v="Indomaret"/>
    <s v="Belanja Harian"/>
    <n v="75000"/>
  </r>
  <r>
    <d v="2025-02-15T00:00:00"/>
    <x v="2"/>
    <s v="Pasar"/>
    <s v="Sayur dan Buah"/>
    <n v="45000"/>
  </r>
  <r>
    <d v="2025-02-17T00:00:00"/>
    <x v="2"/>
    <s v="Indomaret"/>
    <s v="Belanja Harian"/>
    <n v="45000"/>
  </r>
  <r>
    <d v="2025-02-18T00:00:00"/>
    <x v="2"/>
    <s v="Warung"/>
    <s v="Makan"/>
    <n v="16000"/>
  </r>
  <r>
    <d v="2025-02-19T00:00:00"/>
    <x v="2"/>
    <s v="Indomaret"/>
    <s v="Belanja Harian"/>
    <n v="30000"/>
  </r>
  <r>
    <d v="2025-02-20T00:00:00"/>
    <x v="2"/>
    <s v="Pertamina"/>
    <s v="Transportasi Bensin"/>
    <n v="45000"/>
  </r>
  <r>
    <d v="2025-02-21T00:00:00"/>
    <x v="1"/>
    <s v="Warung"/>
    <s v="Jajan"/>
    <n v="25000"/>
  </r>
  <r>
    <d v="2025-02-23T00:00:00"/>
    <x v="2"/>
    <s v="Pertamina"/>
    <s v="Transportasi Bensin"/>
    <n v="45000"/>
  </r>
  <r>
    <d v="2025-02-26T00:00:00"/>
    <x v="2"/>
    <s v="Pasar"/>
    <s v="Sayur dan Buah"/>
    <n v="30000"/>
  </r>
  <r>
    <d v="2025-02-27T00:00:00"/>
    <x v="1"/>
    <s v="Cafe"/>
    <s v="Kopi"/>
    <n v="25000"/>
  </r>
  <r>
    <d v="2025-02-28T00:00:00"/>
    <x v="1"/>
    <s v="Minimarket"/>
    <s v="Snack"/>
    <n v="30000"/>
  </r>
  <r>
    <d v="2025-02-28T00:00:00"/>
    <x v="1"/>
    <s v="Cafe"/>
    <s v="Kopi"/>
    <n v="25000"/>
  </r>
  <r>
    <d v="2025-03-01T00:00:00"/>
    <x v="2"/>
    <s v="Alfamart"/>
    <s v="Kebutuhan Sehari-hari"/>
    <n v="30000"/>
  </r>
  <r>
    <d v="2025-03-04T00:00:00"/>
    <x v="1"/>
    <s v="Cafe"/>
    <s v="Kopi"/>
    <n v="16000"/>
  </r>
  <r>
    <d v="2025-03-04T00:00:00"/>
    <x v="2"/>
    <s v="Warung"/>
    <s v="Makan"/>
    <n v="35000"/>
  </r>
  <r>
    <d v="2025-03-05T00:00:00"/>
    <x v="2"/>
    <s v="Alfamart"/>
    <s v="Kebutuhan Sehari-hari"/>
    <n v="40000"/>
  </r>
  <r>
    <d v="2025-03-05T00:00:00"/>
    <x v="1"/>
    <s v="Warung"/>
    <s v="Jajan"/>
    <n v="25000"/>
  </r>
  <r>
    <d v="2025-03-08T00:00:00"/>
    <x v="2"/>
    <s v="Pertamina"/>
    <s v="Transportasi Bensin"/>
    <n v="25000"/>
  </r>
  <r>
    <d v="2025-03-08T00:00:00"/>
    <x v="2"/>
    <s v="Pertamina"/>
    <s v="Transportasi Bensin"/>
    <n v="30000"/>
  </r>
  <r>
    <d v="2025-03-10T00:00:00"/>
    <x v="2"/>
    <s v="Alfamart"/>
    <s v="Kebutuhan Sehari-hari"/>
    <n v="55000"/>
  </r>
  <r>
    <d v="2025-03-10T00:00:00"/>
    <x v="2"/>
    <s v="Warung"/>
    <s v="Makan"/>
    <n v="40000"/>
  </r>
  <r>
    <d v="2025-03-11T00:00:00"/>
    <x v="2"/>
    <s v="Warung"/>
    <s v="Makan"/>
    <n v="25000"/>
  </r>
  <r>
    <d v="2025-03-13T00:00:00"/>
    <x v="2"/>
    <s v="Alfamart"/>
    <s v="Kebutuhan Sehari-hari"/>
    <n v="60000"/>
  </r>
  <r>
    <d v="2025-03-18T00:00:00"/>
    <x v="1"/>
    <s v="Minimarket"/>
    <s v="Snack"/>
    <n v="19000"/>
  </r>
  <r>
    <d v="2025-03-19T00:00:00"/>
    <x v="1"/>
    <s v="Cafe"/>
    <s v="Kopi"/>
    <n v="20000"/>
  </r>
  <r>
    <d v="2025-03-19T00:00:00"/>
    <x v="2"/>
    <s v="Alfamart"/>
    <s v="Kebutuhan Sehari-hari"/>
    <n v="45000"/>
  </r>
  <r>
    <d v="2025-03-20T00:00:00"/>
    <x v="2"/>
    <s v="Pertamina"/>
    <s v="Transportasi Bensin"/>
    <n v="45000"/>
  </r>
  <r>
    <d v="2025-03-20T00:00:00"/>
    <x v="2"/>
    <s v="Pasar"/>
    <s v="Sayur dan Buah"/>
    <n v="55000"/>
  </r>
  <r>
    <d v="2025-03-22T00:00:00"/>
    <x v="2"/>
    <s v="Pertamina"/>
    <s v="Transportasi Bensin"/>
    <n v="35000"/>
  </r>
  <r>
    <d v="2025-03-23T00:00:00"/>
    <x v="1"/>
    <s v="Cafe"/>
    <s v="Kopi"/>
    <n v="25000"/>
  </r>
  <r>
    <d v="2025-03-24T00:00:00"/>
    <x v="2"/>
    <s v="Indomaret"/>
    <s v="Belanja Harian"/>
    <n v="65000"/>
  </r>
  <r>
    <d v="2025-03-24T00:00:00"/>
    <x v="2"/>
    <s v="Warung"/>
    <s v="Makan"/>
    <n v="17000"/>
  </r>
  <r>
    <d v="2025-03-25T00:00:00"/>
    <x v="2"/>
    <s v="Warung"/>
    <s v="Makan"/>
    <n v="50000"/>
  </r>
  <r>
    <d v="2025-03-26T00:00:00"/>
    <x v="1"/>
    <s v="Warung"/>
    <s v="Jajan"/>
    <n v="18000"/>
  </r>
  <r>
    <d v="2025-03-27T00:00:00"/>
    <x v="2"/>
    <s v="Warung"/>
    <s v="Makan"/>
    <n v="27000"/>
  </r>
  <r>
    <d v="2025-03-28T00:00:00"/>
    <x v="2"/>
    <s v="Warung"/>
    <s v="Makan"/>
    <n v="30000"/>
  </r>
  <r>
    <d v="2025-03-29T00:00:00"/>
    <x v="2"/>
    <s v="Indomaret"/>
    <s v="Belanja Harian"/>
    <n v="30000"/>
  </r>
  <r>
    <d v="2025-03-29T00:00:00"/>
    <x v="2"/>
    <s v="Pasar"/>
    <s v="Sayur dan Buah"/>
    <n v="40000"/>
  </r>
  <r>
    <d v="2025-04-01T00:00:00"/>
    <x v="1"/>
    <s v="Minimarket"/>
    <s v="Snack"/>
    <n v="30000"/>
  </r>
  <r>
    <d v="2025-04-02T00:00:00"/>
    <x v="1"/>
    <s v="Warung"/>
    <s v="Jajan"/>
    <n v="5000"/>
  </r>
  <r>
    <d v="2025-04-02T00:00:00"/>
    <x v="2"/>
    <s v="Pertamina"/>
    <s v="Transportasi Bensin"/>
    <n v="40000"/>
  </r>
  <r>
    <d v="2025-04-03T00:00:00"/>
    <x v="1"/>
    <s v="Warung"/>
    <s v="Jajan"/>
    <n v="25000"/>
  </r>
  <r>
    <d v="2025-04-06T00:00:00"/>
    <x v="1"/>
    <s v="Minimarket"/>
    <s v="Snack"/>
    <n v="25000"/>
  </r>
  <r>
    <d v="2025-04-06T00:00:00"/>
    <x v="2"/>
    <s v="Pasar"/>
    <s v="Sayur dan Buah"/>
    <n v="65000"/>
  </r>
  <r>
    <d v="2025-04-08T00:00:00"/>
    <x v="2"/>
    <s v="Alfamart"/>
    <s v="Kebutuhan Sehari-hari"/>
    <n v="50000"/>
  </r>
  <r>
    <d v="2025-04-08T00:00:00"/>
    <x v="2"/>
    <s v="Indomaret"/>
    <s v="Belanja Harian"/>
    <n v="55000"/>
  </r>
  <r>
    <d v="2025-04-09T00:00:00"/>
    <x v="2"/>
    <s v="Warung"/>
    <s v="Makan"/>
    <n v="23000"/>
  </r>
  <r>
    <d v="2025-04-10T00:00:00"/>
    <x v="2"/>
    <s v="Pasar"/>
    <s v="Sayur dan Buah"/>
    <n v="60000"/>
  </r>
  <r>
    <d v="2025-04-12T00:00:00"/>
    <x v="2"/>
    <s v="Indomaret"/>
    <s v="Belanja Harian"/>
    <n v="55000"/>
  </r>
  <r>
    <d v="2025-04-13T00:00:00"/>
    <x v="2"/>
    <s v="Warung"/>
    <s v="Jajan"/>
    <n v="37000"/>
  </r>
  <r>
    <d v="2025-04-13T00:00:00"/>
    <x v="1"/>
    <s v="Lain-lain"/>
    <s v="Souvenir wisuda aldo"/>
    <n v="60000"/>
  </r>
  <r>
    <d v="2025-04-14T00:00:00"/>
    <x v="2"/>
    <s v="Warung"/>
    <s v="Makan"/>
    <n v="12000"/>
  </r>
  <r>
    <d v="2025-04-14T00:00:00"/>
    <x v="1"/>
    <s v="Warung"/>
    <s v="Jajan"/>
    <n v="10000"/>
  </r>
  <r>
    <d v="2025-04-14T00:00:00"/>
    <x v="2"/>
    <s v="Warung"/>
    <s v="Makan"/>
    <n v="12000"/>
  </r>
  <r>
    <d v="2025-04-15T00:00:00"/>
    <x v="2"/>
    <s v="Warung"/>
    <s v="Makan"/>
    <n v="12000"/>
  </r>
  <r>
    <d v="2025-04-16T00:00:00"/>
    <x v="2"/>
    <s v="Warung"/>
    <s v="Jajan"/>
    <n v="13500"/>
  </r>
  <r>
    <d v="2025-04-16T00:00:00"/>
    <x v="2"/>
    <s v="Warung"/>
    <s v="Makan"/>
    <n v="22000"/>
  </r>
  <r>
    <d v="2025-04-16T00:00:00"/>
    <x v="1"/>
    <s v="Warung"/>
    <s v="Transportasi Bensin"/>
    <n v="20000"/>
  </r>
  <r>
    <d v="2025-04-16T00:00:00"/>
    <x v="2"/>
    <s v="Indosat"/>
    <s v="Kuota"/>
    <n v="100000"/>
  </r>
  <r>
    <d v="2025-04-16T00:00:00"/>
    <x v="2"/>
    <s v="Admin ATM"/>
    <s v="Admin ATM"/>
    <n v="8000"/>
  </r>
  <r>
    <d v="2025-04-17T00:00:00"/>
    <x v="1"/>
    <s v="Lain-lain"/>
    <s v="Magang Liburan"/>
    <n v="100000"/>
  </r>
  <r>
    <d v="2025-04-17T00:00:00"/>
    <x v="2"/>
    <s v="Warung"/>
    <s v="Makan"/>
    <n v="12000"/>
  </r>
  <r>
    <d v="2025-04-18T00:00:00"/>
    <x v="1"/>
    <s v="Warung"/>
    <s v="Jajan"/>
    <n v="8500"/>
  </r>
  <r>
    <d v="2025-04-18T00:00:00"/>
    <x v="2"/>
    <s v="Pertamina"/>
    <s v="Transportasi Bensin"/>
    <n v="25000"/>
  </r>
  <r>
    <d v="2025-04-18T00:00:00"/>
    <x v="2"/>
    <s v="Warung"/>
    <s v="Makan"/>
    <n v="15000"/>
  </r>
  <r>
    <d v="2025-04-19T00:00:00"/>
    <x v="2"/>
    <s v="Warung"/>
    <s v="Makan"/>
    <n v="45000"/>
  </r>
  <r>
    <d v="2025-04-20T00:00:00"/>
    <x v="2"/>
    <s v="Warung"/>
    <s v="Makan"/>
    <n v="51000"/>
  </r>
  <r>
    <d v="2025-04-21T00:00:00"/>
    <x v="2"/>
    <s v="Pertamina"/>
    <s v="Makan"/>
    <n v="40000"/>
  </r>
  <r>
    <d v="2025-04-22T00:00:00"/>
    <x v="2"/>
    <s v="Warung"/>
    <s v="Makan"/>
    <n v="24000"/>
  </r>
  <r>
    <d v="2025-04-22T00:00:00"/>
    <x v="2"/>
    <s v="Pertamina"/>
    <s v="Transportasi Bensin"/>
    <n v="25000"/>
  </r>
  <r>
    <d v="2025-04-23T00:00:00"/>
    <x v="2"/>
    <s v="Warung"/>
    <s v="Makan"/>
    <n v="14000"/>
  </r>
  <r>
    <d v="2025-04-23T00:00:00"/>
    <x v="1"/>
    <s v="Lain-lain"/>
    <s v="Dana Darurat Bulanan"/>
    <n v="85000"/>
  </r>
  <r>
    <d v="2025-04-24T00:00:00"/>
    <x v="2"/>
    <s v="Warung"/>
    <s v="Makan"/>
    <n v="40000"/>
  </r>
  <r>
    <d v="2025-04-27T00:00:00"/>
    <x v="1"/>
    <s v="Lain-lain"/>
    <s v="Liburan"/>
    <n v="130000"/>
  </r>
  <r>
    <d v="2025-04-28T00:00:00"/>
    <x v="2"/>
    <s v="Warung"/>
    <s v="Makan"/>
    <n v="27000"/>
  </r>
  <r>
    <d v="2025-04-28T00:00:00"/>
    <x v="2"/>
    <s v="Pertamina"/>
    <s v="Transportasi Bensin"/>
    <n v="25000"/>
  </r>
  <r>
    <d v="2025-04-29T00:00:00"/>
    <x v="2"/>
    <s v="Warung"/>
    <s v="Makan"/>
    <n v="34500"/>
  </r>
  <r>
    <d v="2025-04-30T00:00:00"/>
    <x v="2"/>
    <s v="Warung"/>
    <s v="Makan"/>
    <n v="28000"/>
  </r>
  <r>
    <d v="2025-04-30T00:00:00"/>
    <x v="2"/>
    <s v="Warung"/>
    <s v="Makan"/>
    <n v="28000"/>
  </r>
  <r>
    <d v="2025-05-01T00:00:00"/>
    <x v="1"/>
    <s v="Toko Buku"/>
    <s v="ATK"/>
    <n v="25000"/>
  </r>
  <r>
    <d v="2025-05-02T00:00:00"/>
    <x v="2"/>
    <s v="Warung"/>
    <s v="Makan"/>
    <n v="38000"/>
  </r>
  <r>
    <d v="2025-05-03T00:00:00"/>
    <x v="2"/>
    <s v="Warung"/>
    <s v="Makan"/>
    <n v="36000"/>
  </r>
  <r>
    <d v="2025-05-03T00:00:00"/>
    <x v="2"/>
    <s v="Pertamina"/>
    <s v="Transportasi Bensin"/>
    <n v="25000"/>
  </r>
  <r>
    <d v="2025-05-04T00:00:00"/>
    <x v="1"/>
    <s v="Lain-lain"/>
    <s v="Dana Darurat Bulanan"/>
    <n v="14500"/>
  </r>
  <r>
    <d v="2025-05-04T00:00:00"/>
    <x v="1"/>
    <s v="Lain-lain"/>
    <s v="Dana Darurat Bulanan"/>
    <n v="78200"/>
  </r>
  <r>
    <d v="2025-05-04T00:00:00"/>
    <x v="2"/>
    <s v="Warung"/>
    <s v="Makan"/>
    <n v="48000"/>
  </r>
  <r>
    <d v="2025-05-05T00:00:00"/>
    <x v="2"/>
    <s v="Warung"/>
    <s v="Makan"/>
    <n v="50000"/>
  </r>
  <r>
    <d v="2025-05-06T00:00:00"/>
    <x v="2"/>
    <s v="Warung"/>
    <s v="Makan"/>
    <n v="47500"/>
  </r>
  <r>
    <d v="2025-05-07T00:00:00"/>
    <x v="2"/>
    <s v="Pertamina"/>
    <s v="Transportasi Bensin"/>
    <n v="25000"/>
  </r>
  <r>
    <d v="2025-05-07T00:00:00"/>
    <x v="2"/>
    <s v="Warung"/>
    <s v="Makan"/>
    <n v="35000"/>
  </r>
  <r>
    <d v="2025-05-08T00:00:00"/>
    <x v="1"/>
    <s v="Lain-lain"/>
    <s v="Dana Darurat Bulanan"/>
    <n v="102000"/>
  </r>
  <r>
    <d v="2025-05-08T00:00:00"/>
    <x v="2"/>
    <s v="Warung"/>
    <s v="Makan"/>
    <n v="25000"/>
  </r>
  <r>
    <d v="2025-05-09T00:00:00"/>
    <x v="2"/>
    <s v="Warung"/>
    <s v="Makan"/>
    <n v="15000"/>
  </r>
  <r>
    <d v="2025-05-10T00:00:00"/>
    <x v="2"/>
    <s v="Warung"/>
    <s v="Makan"/>
    <n v="27000"/>
  </r>
  <r>
    <d v="2025-05-10T00:00:00"/>
    <x v="2"/>
    <s v="Lain-lain"/>
    <s v="Ganti Oli"/>
    <n v="58000"/>
  </r>
  <r>
    <d v="2025-05-11T00:00:00"/>
    <x v="2"/>
    <s v="Warung"/>
    <s v="Makan"/>
    <n v="23000"/>
  </r>
  <r>
    <d v="2025-05-11T00:00:00"/>
    <x v="2"/>
    <s v="Warung"/>
    <s v="Kuota"/>
    <n v="21000"/>
  </r>
  <r>
    <d v="2025-05-12T00:00:00"/>
    <x v="2"/>
    <s v="Warung"/>
    <s v="Makan"/>
    <n v="25000"/>
  </r>
  <r>
    <d v="2025-05-12T00:00:00"/>
    <x v="2"/>
    <s v="Telkomsel"/>
    <s v="Galon"/>
    <n v="6000"/>
  </r>
  <r>
    <d v="2025-05-13T00:00:00"/>
    <x v="2"/>
    <s v="Pertamina"/>
    <s v="Transportasi Bensin"/>
    <n v="25000"/>
  </r>
  <r>
    <d v="2025-05-13T00:00:00"/>
    <x v="2"/>
    <s v="Warung"/>
    <s v="Makan"/>
    <n v="19500"/>
  </r>
  <r>
    <d v="2025-05-14T00:00:00"/>
    <x v="2"/>
    <s v="Warung"/>
    <s v="Makan"/>
    <n v="20000"/>
  </r>
  <r>
    <d v="2025-05-15T00:00:00"/>
    <x v="1"/>
    <s v="Lain-lain"/>
    <s v="Dana Darurat Bulanan"/>
    <n v="3000"/>
  </r>
  <r>
    <d v="2025-05-15T00:00:00"/>
    <x v="1"/>
    <s v="Warung"/>
    <s v="Jajan"/>
    <n v="5000"/>
  </r>
  <r>
    <d v="2025-05-15T00:00:00"/>
    <x v="2"/>
    <s v="Warung"/>
    <s v="Makan"/>
    <n v="10000"/>
  </r>
  <r>
    <d v="2025-05-15T00:00:00"/>
    <x v="2"/>
    <s v="Warung"/>
    <s v="Makan"/>
    <n v="20000"/>
  </r>
  <r>
    <d v="2025-05-16T00:00:00"/>
    <x v="2"/>
    <s v="Indosat"/>
    <s v="Kuota"/>
    <n v="103000"/>
  </r>
  <r>
    <d v="2025-05-16T00:00:00"/>
    <x v="2"/>
    <s v="Warung"/>
    <s v="Makan"/>
    <n v="19000"/>
  </r>
  <r>
    <d v="2025-05-17T00:00:00"/>
    <x v="2"/>
    <s v="Warung"/>
    <s v="Makan"/>
    <n v="20000"/>
  </r>
  <r>
    <d v="2025-05-18T00:00:00"/>
    <x v="2"/>
    <s v="Warung"/>
    <s v="Makan"/>
    <n v="23000"/>
  </r>
  <r>
    <d v="2025-05-19T00:00:00"/>
    <x v="1"/>
    <s v="Warung"/>
    <s v="Jajan"/>
    <n v="13000"/>
  </r>
  <r>
    <d v="2025-05-19T00:00:00"/>
    <x v="2"/>
    <s v="Warung"/>
    <s v="Makan"/>
    <n v="27000"/>
  </r>
  <r>
    <d v="2025-05-20T00:00:00"/>
    <x v="1"/>
    <s v="Warung"/>
    <s v="Jajan"/>
    <n v="13000"/>
  </r>
  <r>
    <d v="2025-05-20T00:00:00"/>
    <x v="2"/>
    <s v="Warung"/>
    <s v="Makan"/>
    <n v="27000"/>
  </r>
  <r>
    <d v="2025-05-21T00:00:00"/>
    <x v="2"/>
    <s v="Warung"/>
    <s v="Makan"/>
    <n v="27000"/>
  </r>
  <r>
    <d v="2025-05-21T00:00:00"/>
    <x v="2"/>
    <s v="Pertamina"/>
    <s v="Transportasi Bensin"/>
    <n v="25000"/>
  </r>
  <r>
    <d v="2025-05-22T00:00:00"/>
    <x v="2"/>
    <s v="Warung"/>
    <s v="Makan"/>
    <n v="24000"/>
  </r>
  <r>
    <d v="2025-05-22T00:00:00"/>
    <x v="2"/>
    <s v="Warung"/>
    <s v="Jajan"/>
    <n v="10000"/>
  </r>
  <r>
    <d v="2025-05-23T00:00:00"/>
    <x v="2"/>
    <s v="Warung"/>
    <s v="Jajan"/>
    <n v="30000"/>
  </r>
  <r>
    <d v="2025-05-24T00:00:00"/>
    <x v="2"/>
    <s v="Warung"/>
    <s v="Makan"/>
    <n v="15000"/>
  </r>
  <r>
    <d v="2025-05-24T00:00:00"/>
    <x v="2"/>
    <s v="Warung"/>
    <s v="Makan"/>
    <n v="25000"/>
  </r>
  <r>
    <d v="2025-05-25T00:00:00"/>
    <x v="2"/>
    <s v="Pertamina"/>
    <s v="Transportasi Bensin"/>
    <n v="25000"/>
  </r>
  <r>
    <d v="2025-05-26T00:00:00"/>
    <x v="2"/>
    <s v="Warung"/>
    <s v="Galon"/>
    <n v="34800"/>
  </r>
  <r>
    <d v="2025-05-26T00:00:00"/>
    <x v="2"/>
    <s v="Warung"/>
    <s v="Makan"/>
    <n v="32000"/>
  </r>
  <r>
    <d v="2025-05-26T00:00:00"/>
    <x v="2"/>
    <s v="Warung"/>
    <s v="Makan"/>
    <n v="23000"/>
  </r>
  <r>
    <d v="2025-05-27T00:00:00"/>
    <x v="1"/>
    <s v="Minimarket"/>
    <s v="Snack"/>
    <n v="30000"/>
  </r>
  <r>
    <d v="2025-05-28T00:00:00"/>
    <x v="2"/>
    <s v="Warung"/>
    <s v="Makan"/>
    <n v="14000"/>
  </r>
  <r>
    <d v="2025-05-29T00:00:00"/>
    <x v="1"/>
    <s v="Lain-lain"/>
    <s v="Dana Darurat Bulanan"/>
    <n v="20000"/>
  </r>
  <r>
    <d v="2025-05-30T00:00:00"/>
    <x v="2"/>
    <s v="Warung"/>
    <s v="Makan"/>
    <n v="29500"/>
  </r>
  <r>
    <d v="2025-05-31T00:00:00"/>
    <x v="2"/>
    <s v="Warung"/>
    <s v="Makan"/>
    <n v="27000"/>
  </r>
  <r>
    <d v="2025-06-02T00:00:00"/>
    <x v="2"/>
    <s v="Pertamina"/>
    <s v="Transportasi Bensin"/>
    <n v="25000"/>
  </r>
  <r>
    <d v="2025-06-02T00:00:00"/>
    <x v="2"/>
    <s v="Warung"/>
    <s v="Makan"/>
    <n v="30000"/>
  </r>
  <r>
    <d v="2025-06-03T00:00:00"/>
    <x v="2"/>
    <s v="Warung"/>
    <s v="Makan"/>
    <n v="27000"/>
  </r>
  <r>
    <d v="2025-06-04T00:00:00"/>
    <x v="2"/>
    <s v="Warung"/>
    <s v="Makan"/>
    <n v="36000"/>
  </r>
  <r>
    <d v="2025-06-05T00:00:00"/>
    <x v="2"/>
    <s v="Warung"/>
    <s v="Makan"/>
    <n v="35000"/>
  </r>
  <r>
    <d v="2025-06-06T00:00:00"/>
    <x v="1"/>
    <s v="Lain-lain"/>
    <s v="Jersey"/>
    <n v="38500"/>
  </r>
  <r>
    <d v="2025-06-06T00:00:00"/>
    <x v="2"/>
    <s v="Warung"/>
    <s v="Makan"/>
    <n v="35000"/>
  </r>
  <r>
    <d v="2025-06-07T00:00:00"/>
    <x v="2"/>
    <s v="Warung"/>
    <s v="Makan"/>
    <n v="35000"/>
  </r>
  <r>
    <d v="2025-06-08T00:00:00"/>
    <x v="2"/>
    <s v="Telkomsel"/>
    <s v="Makan"/>
    <n v="13000"/>
  </r>
  <r>
    <d v="2025-06-08T00:00:00"/>
    <x v="2"/>
    <s v="Warung"/>
    <s v="Makan"/>
    <n v="22500"/>
  </r>
  <r>
    <d v="2025-06-09T00:00:00"/>
    <x v="1"/>
    <s v="Lain-lain"/>
    <s v="Jajan"/>
    <n v="55000"/>
  </r>
  <r>
    <d v="2025-06-09T00:00:00"/>
    <x v="2"/>
    <s v="Pertamina"/>
    <s v="Transportasi Bensin"/>
    <n v="25000"/>
  </r>
  <r>
    <d v="2025-06-09T00:00:00"/>
    <x v="2"/>
    <s v="Warung"/>
    <s v="Jajan"/>
    <n v="34188"/>
  </r>
  <r>
    <d v="2025-06-10T00:00:00"/>
    <x v="2"/>
    <s v="Warung"/>
    <s v="Makan"/>
    <n v="15000"/>
  </r>
  <r>
    <d v="2025-06-11T00:00:00"/>
    <x v="2"/>
    <s v="Warung"/>
    <s v="Makan"/>
    <n v="30000"/>
  </r>
  <r>
    <d v="2025-06-12T00:00:00"/>
    <x v="2"/>
    <s v="Warung"/>
    <s v="Makan"/>
    <n v="25000"/>
  </r>
  <r>
    <d v="2025-06-13T00:00:00"/>
    <x v="2"/>
    <s v="Warung"/>
    <s v="Makan"/>
    <n v="35000"/>
  </r>
  <r>
    <d v="2025-06-14T00:00:00"/>
    <x v="2"/>
    <s v="Warung"/>
    <s v="Makan"/>
    <n v="35000"/>
  </r>
  <r>
    <d v="2025-06-15T00:00:00"/>
    <x v="2"/>
    <s v="Telkomsel"/>
    <s v="Kuota"/>
    <n v="50000"/>
  </r>
  <r>
    <d v="2025-06-15T00:00:00"/>
    <x v="2"/>
    <s v="Warung"/>
    <s v="Makan"/>
    <n v="40000"/>
  </r>
  <r>
    <d v="2025-06-16T00:00:00"/>
    <x v="2"/>
    <s v="Warung"/>
    <s v="Makan"/>
    <n v="28000"/>
  </r>
  <r>
    <d v="2025-06-17T00:00:00"/>
    <x v="2"/>
    <s v="Warung"/>
    <s v="Makan"/>
    <n v="35000"/>
  </r>
  <r>
    <d v="2025-06-18T00:00:00"/>
    <x v="2"/>
    <s v="Alfamart"/>
    <s v="Kebutuhan Sehari-hari"/>
    <n v="70000"/>
  </r>
  <r>
    <d v="2025-06-19T00:00:00"/>
    <x v="2"/>
    <s v="Warung"/>
    <s v="Makan"/>
    <n v="40000"/>
  </r>
  <r>
    <d v="2025-06-20T00:00:00"/>
    <x v="2"/>
    <s v="Warung"/>
    <s v="Makan"/>
    <n v="40000"/>
  </r>
  <r>
    <d v="2025-06-21T00:00:00"/>
    <x v="2"/>
    <s v="Pasar"/>
    <s v="Sayur dan Buah"/>
    <n v="45000"/>
  </r>
  <r>
    <d v="2025-06-22T00:00:00"/>
    <x v="2"/>
    <s v="Warung"/>
    <s v="Makan"/>
    <n v="26000"/>
  </r>
  <r>
    <d v="2025-06-22T00:00:00"/>
    <x v="1"/>
    <s v="Lain-lain"/>
    <s v="Dana Darurat Bulanan"/>
    <n v="20000"/>
  </r>
  <r>
    <d v="2025-06-23T00:00:00"/>
    <x v="2"/>
    <s v="Warung"/>
    <s v="Makan"/>
    <n v="35000"/>
  </r>
  <r>
    <d v="2025-06-24T00:00:00"/>
    <x v="2"/>
    <s v="Warung"/>
    <s v="Makan"/>
    <n v="30000"/>
  </r>
  <r>
    <d v="2025-06-25T00:00:00"/>
    <x v="2"/>
    <s v="Warung"/>
    <s v="Makan"/>
    <n v="30000"/>
  </r>
  <r>
    <d v="2025-06-26T00:00:00"/>
    <x v="2"/>
    <s v="Warung"/>
    <s v="Makan"/>
    <n v="35000"/>
  </r>
  <r>
    <d v="2025-06-27T00:00:00"/>
    <x v="2"/>
    <s v="Warung"/>
    <s v="Makan"/>
    <n v="40000"/>
  </r>
  <r>
    <d v="2025-06-28T00:00:00"/>
    <x v="2"/>
    <s v="Warung"/>
    <s v="Makan"/>
    <n v="30000"/>
  </r>
  <r>
    <d v="2025-06-28T00:00:00"/>
    <x v="1"/>
    <s v="Lain-lain"/>
    <s v="Paspor"/>
    <n v="6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4E044-B3D6-49A6-B923-4F1353904B7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Jenis Dana">
  <location ref="A21:B25" firstHeaderRow="1" firstDataRow="1" firstDataCol="1"/>
  <pivotFields count="5">
    <pivotField numFmtId="164" showAll="0"/>
    <pivotField axis="axisRow" showAll="0">
      <items count="4">
        <item x="0"/>
        <item x="2"/>
        <item x="1"/>
        <item t="default"/>
      </items>
    </pivotField>
    <pivotField showAll="0"/>
    <pivotField showAll="0"/>
    <pivotField dataField="1" numFmtId="8" showAll="0"/>
  </pivotFields>
  <rowFields count="1">
    <field x="1"/>
  </rowFields>
  <rowItems count="4">
    <i>
      <x/>
    </i>
    <i>
      <x v="1"/>
    </i>
    <i>
      <x v="2"/>
    </i>
    <i t="grand">
      <x/>
    </i>
  </rowItems>
  <colItems count="1">
    <i/>
  </colItems>
  <dataFields count="1">
    <dataField name="Total Pengeluaran" fld="4" baseField="0" baseItem="0" numFmtId="8"/>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FABD90-DF06-4C31-BCCB-A1CFFDB367B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rowHeaderCaption="Bulan">
  <location ref="A9:B16" firstHeaderRow="1" firstDataRow="1" firstDataCol="1"/>
  <pivotFields count="7">
    <pivotField axis="axisRow"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showAll="0">
      <items count="5">
        <item x="0"/>
        <item x="2"/>
        <item x="1"/>
        <item h="1" x="3"/>
        <item t="default"/>
      </items>
    </pivotField>
    <pivotField showAll="0">
      <items count="17">
        <item x="13"/>
        <item x="5"/>
        <item x="4"/>
        <item x="2"/>
        <item x="8"/>
        <item x="12"/>
        <item x="11"/>
        <item x="7"/>
        <item x="9"/>
        <item x="6"/>
        <item x="3"/>
        <item x="0"/>
        <item x="14"/>
        <item x="10"/>
        <item x="1"/>
        <item x="15"/>
        <item t="default"/>
      </items>
    </pivotField>
    <pivotField showAll="0">
      <items count="23">
        <item x="13"/>
        <item x="10"/>
        <item x="8"/>
        <item x="15"/>
        <item x="18"/>
        <item x="17"/>
        <item x="0"/>
        <item x="3"/>
        <item x="19"/>
        <item x="6"/>
        <item x="2"/>
        <item x="12"/>
        <item x="16"/>
        <item x="14"/>
        <item x="1"/>
        <item x="20"/>
        <item x="7"/>
        <item x="9"/>
        <item x="11"/>
        <item x="5"/>
        <item x="4"/>
        <item x="21"/>
        <item t="default"/>
      </items>
    </pivotField>
    <pivotField dataField="1" showAll="0">
      <items count="62">
        <item x="48"/>
        <item x="24"/>
        <item x="5"/>
        <item x="31"/>
        <item x="32"/>
        <item x="4"/>
        <item x="27"/>
        <item x="50"/>
        <item x="28"/>
        <item x="14"/>
        <item x="40"/>
        <item x="33"/>
        <item x="17"/>
        <item x="20"/>
        <item x="22"/>
        <item x="19"/>
        <item x="47"/>
        <item x="2"/>
        <item x="46"/>
        <item x="29"/>
        <item x="55"/>
        <item x="25"/>
        <item x="35"/>
        <item x="3"/>
        <item x="58"/>
        <item x="23"/>
        <item x="39"/>
        <item x="53"/>
        <item x="18"/>
        <item x="52"/>
        <item x="56"/>
        <item x="38"/>
        <item x="51"/>
        <item x="10"/>
        <item x="11"/>
        <item x="26"/>
        <item x="8"/>
        <item x="54"/>
        <item x="9"/>
        <item x="16"/>
        <item x="43"/>
        <item x="42"/>
        <item x="6"/>
        <item x="21"/>
        <item x="34"/>
        <item x="12"/>
        <item x="45"/>
        <item x="13"/>
        <item x="1"/>
        <item x="7"/>
        <item x="57"/>
        <item x="15"/>
        <item x="41"/>
        <item x="36"/>
        <item x="30"/>
        <item x="44"/>
        <item x="49"/>
        <item x="37"/>
        <item x="59"/>
        <item x="0"/>
        <item x="6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x="7"/>
        <item x="8"/>
        <item x="9"/>
        <item x="10"/>
        <item x="11"/>
        <item x="12"/>
        <item x="13"/>
        <item t="default"/>
      </items>
    </pivotField>
  </pivotFields>
  <rowFields count="3">
    <field x="6"/>
    <field x="5"/>
    <field x="0"/>
  </rowFields>
  <rowItems count="7">
    <i>
      <x v="1"/>
    </i>
    <i>
      <x v="2"/>
    </i>
    <i>
      <x v="3"/>
    </i>
    <i>
      <x v="4"/>
    </i>
    <i>
      <x v="5"/>
    </i>
    <i>
      <x v="6"/>
    </i>
    <i t="grand">
      <x/>
    </i>
  </rowItems>
  <colItems count="1">
    <i/>
  </colItems>
  <dataFields count="1">
    <dataField name="Total Pengeluaran" fld="4" baseField="6" baseItem="0"/>
  </dataFields>
  <formats count="7">
    <format dxfId="10">
      <pivotArea collapsedLevelsAreSubtotals="1" fieldPosition="0">
        <references count="1">
          <reference field="6" count="1">
            <x v="1"/>
          </reference>
        </references>
      </pivotArea>
    </format>
    <format dxfId="9">
      <pivotArea collapsedLevelsAreSubtotals="1" fieldPosition="0">
        <references count="1">
          <reference field="6" count="1">
            <x v="2"/>
          </reference>
        </references>
      </pivotArea>
    </format>
    <format dxfId="8">
      <pivotArea collapsedLevelsAreSubtotals="1" fieldPosition="0">
        <references count="1">
          <reference field="6" count="1">
            <x v="3"/>
          </reference>
        </references>
      </pivotArea>
    </format>
    <format dxfId="7">
      <pivotArea collapsedLevelsAreSubtotals="1" fieldPosition="0">
        <references count="1">
          <reference field="6" count="1">
            <x v="4"/>
          </reference>
        </references>
      </pivotArea>
    </format>
    <format dxfId="6">
      <pivotArea collapsedLevelsAreSubtotals="1" fieldPosition="0">
        <references count="1">
          <reference field="6" count="1">
            <x v="5"/>
          </reference>
        </references>
      </pivotArea>
    </format>
    <format dxfId="5">
      <pivotArea collapsedLevelsAreSubtotals="1" fieldPosition="0">
        <references count="1">
          <reference field="6" count="1">
            <x v="6"/>
          </reference>
        </references>
      </pivotArea>
    </format>
    <format dxfId="4">
      <pivotArea grandRow="1" outline="0" collapsedLevelsAreSubtotals="1"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8FCB68-0D1B-4444-8180-04D70D4569B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7">
    <pivotField dataField="1" showAll="0">
      <items count="1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Harga Satuan" fld="4" baseField="0" baseItem="0" numFmtId="8"/>
    <dataField name="Count of Tanggal Pengeluaran" fld="0" subtotal="count" baseField="0" baseItem="1"/>
    <dataField name="Average of Harga Satuan2" fld="4" subtotal="average" baseField="0" baseItem="1"/>
  </dataFields>
  <formats count="2">
    <format dxfId="12">
      <pivotArea outline="0" collapsedLevelsAreSubtotals="1" fieldPosition="0"/>
    </format>
    <format dxfId="1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70BC94-ED5C-4EB5-B0E7-D9CA91CBA4C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8:B32" firstHeaderRow="1" firstDataRow="1" firstDataCol="1"/>
  <pivotFields count="5">
    <pivotField numFmtId="164" showAll="0"/>
    <pivotField axis="axisRow" dataField="1" showAll="0">
      <items count="4">
        <item x="0"/>
        <item x="2"/>
        <item x="1"/>
        <item t="default"/>
      </items>
    </pivotField>
    <pivotField showAll="0"/>
    <pivotField showAll="0"/>
    <pivotField numFmtId="8" showAll="0"/>
  </pivotFields>
  <rowFields count="1">
    <field x="1"/>
  </rowFields>
  <rowItems count="4">
    <i>
      <x/>
    </i>
    <i>
      <x v="1"/>
    </i>
    <i>
      <x v="2"/>
    </i>
    <i t="grand">
      <x/>
    </i>
  </rowItems>
  <colItems count="1">
    <i/>
  </colItems>
  <dataFields count="1">
    <dataField name="Count of Jenis Dana" fld="1" subtotal="count" baseField="1"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 chart="4" format="7">
      <pivotArea type="data" outline="0" fieldPosition="0">
        <references count="2">
          <reference field="4294967294" count="1" selected="0">
            <x v="0"/>
          </reference>
          <reference field="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anggal_Pengeluaran" xr10:uid="{F7F3FE13-4426-4BA4-9875-D5BAB1567A74}" sourceName="Months (Tanggal Pengeluaran)">
  <pivotTables>
    <pivotTable tabId="7" name="PivotTable2"/>
  </pivotTables>
  <data>
    <tabular pivotCacheId="2146275925">
      <items count="14">
        <i x="1" s="1"/>
        <i x="2" s="1"/>
        <i x="3" s="1"/>
        <i x="4" s="1"/>
        <i x="5" s="1"/>
        <i x="6" s="1"/>
        <i x="7" s="1" nd="1"/>
        <i x="8" s="1" nd="1"/>
        <i x="9" s="1" nd="1"/>
        <i x="10" s="1" nd="1"/>
        <i x="11" s="1" nd="1"/>
        <i x="12" s="1" nd="1"/>
        <i x="0"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enis_Dana" xr10:uid="{EF16C6BD-BDC8-433F-BAA2-7C4A805865BF}" sourceName="Jenis Dana">
  <pivotTables>
    <pivotTable tabId="7" name="PivotTable2"/>
  </pivotTables>
  <data>
    <tabular pivotCacheId="2146275925">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anggal Pengeluaran)" xr10:uid="{BB76A1B6-0DC6-44DF-8631-8E3A010C65B3}" cache="Slicer_Months__Tanggal_Pengeluaran" caption="Months (Tanggal Pengeluaran)" rowHeight="241300"/>
  <slicer name="Jenis Dana" xr10:uid="{0873E4E2-5513-4269-A1E2-3D63D1014C89}" cache="Slicer_Jenis_Dana" caption="Jenis Dan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6775E4-D6E2-4137-A996-E494E2D80D5F}" name="Table1" displayName="Table1" ref="A1:F185" totalsRowShown="0" headerRowDxfId="3" headerRowBorderDxfId="2" tableBorderDxfId="1">
  <autoFilter ref="A1:F185" xr:uid="{5E6775E4-D6E2-4137-A996-E494E2D80D5F}"/>
  <tableColumns count="6">
    <tableColumn id="1" xr3:uid="{5CA3075B-3042-4A82-8BA7-B10E1F24DD54}" name="Tanggal Pengeluaran"/>
    <tableColumn id="2" xr3:uid="{207B7C9F-E5E1-4B4F-90E8-62FC68866600}" name="Jenis Dana"/>
    <tableColumn id="3" xr3:uid="{870F79F2-8583-4C6B-BE42-1E85EE9F9348}" name="Toko"/>
    <tableColumn id="4" xr3:uid="{5EC9D01C-3D00-427A-B551-4A443B12275E}" name="Nama Barang"/>
    <tableColumn id="5" xr3:uid="{595D8D42-6482-4B5F-A13E-9F5700F749E7}" name="Harga Satuan" dataDxfId="0"/>
    <tableColumn id="6" xr3:uid="{416CBCA7-50D1-483F-AB9D-FD4DBD6C1201}" name="Tipe Pembayar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_Pengeluaran" xr10:uid="{9E73DC99-AFBA-4CAF-8E5A-27036E7F873C}" sourceName="Tanggal Pengeluaran">
  <pivotTables>
    <pivotTable tabId="7" name="PivotTable2"/>
  </pivotTables>
  <state minimalRefreshVersion="6" lastRefreshVersion="6" pivotCacheId="214627592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Pengeluaran" xr10:uid="{95FEEC77-BF18-43CB-AA0B-E6765FCB7B2F}" cache="NativeTimeline_Tanggal_Pengeluaran" caption="Tanggal Pengeluaran" level="2" selectionLevel="2" scrollPosition="2025-01-01T00:00:00" style="TimeSlicerStyleLight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D9615-F306-4627-9186-7AC46B55E9F0}">
  <dimension ref="B3:Q7"/>
  <sheetViews>
    <sheetView showGridLines="0" topLeftCell="A7" workbookViewId="0">
      <selection activeCell="F34" sqref="F34"/>
    </sheetView>
  </sheetViews>
  <sheetFormatPr defaultRowHeight="15" x14ac:dyDescent="0.25"/>
  <cols>
    <col min="9" max="10" width="12.42578125" customWidth="1"/>
    <col min="13" max="13" width="13.140625" customWidth="1"/>
    <col min="15" max="16" width="11.42578125" customWidth="1"/>
  </cols>
  <sheetData>
    <row r="3" spans="2:17" x14ac:dyDescent="0.25">
      <c r="B3" s="5"/>
      <c r="C3" s="5"/>
      <c r="D3" s="5"/>
      <c r="E3" s="5"/>
      <c r="F3" s="5"/>
      <c r="G3" s="5"/>
      <c r="H3" s="5"/>
      <c r="I3" s="5"/>
      <c r="J3" s="5"/>
      <c r="K3" s="5"/>
      <c r="L3" s="5"/>
      <c r="M3" s="5"/>
      <c r="N3" s="5"/>
      <c r="O3" s="5"/>
      <c r="P3" s="5"/>
      <c r="Q3" s="6"/>
    </row>
    <row r="4" spans="2:17" ht="10.5" customHeight="1" x14ac:dyDescent="0.25">
      <c r="B4" s="16" t="s">
        <v>43</v>
      </c>
      <c r="C4" s="16"/>
      <c r="D4" s="16"/>
      <c r="E4" s="16"/>
      <c r="F4" s="16"/>
      <c r="G4" s="16"/>
    </row>
    <row r="5" spans="2:17" x14ac:dyDescent="0.25">
      <c r="B5" s="16"/>
      <c r="C5" s="16"/>
      <c r="D5" s="16"/>
      <c r="E5" s="16"/>
      <c r="F5" s="16"/>
      <c r="G5" s="16"/>
      <c r="I5" s="17" t="s">
        <v>45</v>
      </c>
      <c r="J5" s="18"/>
      <c r="L5" s="17" t="s">
        <v>47</v>
      </c>
      <c r="M5" s="18"/>
      <c r="O5" s="10" t="s">
        <v>49</v>
      </c>
      <c r="P5" s="11"/>
    </row>
    <row r="6" spans="2:17" ht="15" customHeight="1" x14ac:dyDescent="0.25">
      <c r="B6" s="16"/>
      <c r="C6" s="16"/>
      <c r="D6" s="16"/>
      <c r="E6" s="16"/>
      <c r="F6" s="16"/>
      <c r="G6" s="16"/>
      <c r="I6" s="12">
        <f>GETPIVOTDATA("Harga Satuan",'Pivot Table'!$A$3)</f>
        <v>8303188</v>
      </c>
      <c r="J6" s="13"/>
      <c r="L6" s="19">
        <f>GETPIVOTDATA("Count of Tanggal Pengeluaran",'Pivot Table'!$A$3)</f>
        <v>184</v>
      </c>
      <c r="M6" s="20"/>
      <c r="O6" s="12">
        <f>GETPIVOTDATA("Average of Harga Satuan2",'Pivot Table'!$A$3)</f>
        <v>45126.021739130432</v>
      </c>
      <c r="P6" s="13"/>
    </row>
    <row r="7" spans="2:17" ht="15" customHeight="1" x14ac:dyDescent="0.25">
      <c r="B7" t="s">
        <v>44</v>
      </c>
      <c r="I7" s="14"/>
      <c r="J7" s="15"/>
      <c r="L7" s="21"/>
      <c r="M7" s="22"/>
      <c r="O7" s="14"/>
      <c r="P7" s="15"/>
    </row>
  </sheetData>
  <mergeCells count="7">
    <mergeCell ref="O5:P5"/>
    <mergeCell ref="O6:P7"/>
    <mergeCell ref="B4:G6"/>
    <mergeCell ref="I5:J5"/>
    <mergeCell ref="I6:J7"/>
    <mergeCell ref="L5:M5"/>
    <mergeCell ref="L6:M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7C1F6-FB55-47E9-BEB4-16DB8A2E23F3}">
  <dimension ref="A3:C32"/>
  <sheetViews>
    <sheetView workbookViewId="0">
      <selection activeCell="D36" sqref="D36"/>
    </sheetView>
  </sheetViews>
  <sheetFormatPr defaultRowHeight="15" x14ac:dyDescent="0.25"/>
  <cols>
    <col min="1" max="1" width="11.28515625" bestFit="1" customWidth="1"/>
    <col min="2" max="2" width="17.28515625" bestFit="1" customWidth="1"/>
    <col min="3" max="3" width="23.85546875" bestFit="1" customWidth="1"/>
  </cols>
  <sheetData>
    <row r="3" spans="1:3" x14ac:dyDescent="0.25">
      <c r="A3" t="s">
        <v>42</v>
      </c>
      <c r="B3" t="s">
        <v>46</v>
      </c>
      <c r="C3" t="s">
        <v>48</v>
      </c>
    </row>
    <row r="4" spans="1:3" x14ac:dyDescent="0.25">
      <c r="A4" s="2">
        <v>8303188</v>
      </c>
      <c r="B4">
        <v>184</v>
      </c>
      <c r="C4" s="2">
        <v>45126.021739130432</v>
      </c>
    </row>
    <row r="9" spans="1:3" x14ac:dyDescent="0.25">
      <c r="A9" s="7" t="s">
        <v>58</v>
      </c>
      <c r="B9" t="s">
        <v>45</v>
      </c>
    </row>
    <row r="10" spans="1:3" x14ac:dyDescent="0.25">
      <c r="A10" s="8" t="s">
        <v>52</v>
      </c>
      <c r="B10" s="2">
        <v>1714000</v>
      </c>
    </row>
    <row r="11" spans="1:3" x14ac:dyDescent="0.25">
      <c r="A11" s="8" t="s">
        <v>53</v>
      </c>
      <c r="B11" s="2">
        <v>932500</v>
      </c>
    </row>
    <row r="12" spans="1:3" x14ac:dyDescent="0.25">
      <c r="A12" s="8" t="s">
        <v>54</v>
      </c>
      <c r="B12" s="2">
        <v>902000</v>
      </c>
    </row>
    <row r="13" spans="1:3" x14ac:dyDescent="0.25">
      <c r="A13" s="8" t="s">
        <v>55</v>
      </c>
      <c r="B13" s="2">
        <v>1496500</v>
      </c>
    </row>
    <row r="14" spans="1:3" x14ac:dyDescent="0.25">
      <c r="A14" s="8" t="s">
        <v>56</v>
      </c>
      <c r="B14" s="2">
        <v>1463000</v>
      </c>
    </row>
    <row r="15" spans="1:3" x14ac:dyDescent="0.25">
      <c r="A15" s="8" t="s">
        <v>57</v>
      </c>
      <c r="B15" s="2">
        <v>1795188</v>
      </c>
    </row>
    <row r="16" spans="1:3" x14ac:dyDescent="0.25">
      <c r="A16" s="8" t="s">
        <v>51</v>
      </c>
      <c r="B16" s="2">
        <v>8303188</v>
      </c>
    </row>
    <row r="21" spans="1:2" x14ac:dyDescent="0.25">
      <c r="A21" s="7" t="s">
        <v>1</v>
      </c>
      <c r="B21" t="s">
        <v>45</v>
      </c>
    </row>
    <row r="22" spans="1:2" x14ac:dyDescent="0.25">
      <c r="A22" s="8" t="s">
        <v>5</v>
      </c>
      <c r="B22" s="2">
        <v>1581000</v>
      </c>
    </row>
    <row r="23" spans="1:2" x14ac:dyDescent="0.25">
      <c r="A23" s="8" t="s">
        <v>13</v>
      </c>
      <c r="B23" s="2">
        <v>4633988</v>
      </c>
    </row>
    <row r="24" spans="1:2" x14ac:dyDescent="0.25">
      <c r="A24" s="8" t="s">
        <v>7</v>
      </c>
      <c r="B24" s="2">
        <v>2088200</v>
      </c>
    </row>
    <row r="25" spans="1:2" x14ac:dyDescent="0.25">
      <c r="A25" s="8" t="s">
        <v>51</v>
      </c>
      <c r="B25" s="2">
        <v>8303188</v>
      </c>
    </row>
    <row r="28" spans="1:2" x14ac:dyDescent="0.25">
      <c r="A28" s="7" t="s">
        <v>50</v>
      </c>
      <c r="B28" t="s">
        <v>59</v>
      </c>
    </row>
    <row r="29" spans="1:2" x14ac:dyDescent="0.25">
      <c r="A29" s="8" t="s">
        <v>5</v>
      </c>
      <c r="B29">
        <v>1</v>
      </c>
    </row>
    <row r="30" spans="1:2" x14ac:dyDescent="0.25">
      <c r="A30" s="8" t="s">
        <v>13</v>
      </c>
      <c r="B30">
        <v>138</v>
      </c>
    </row>
    <row r="31" spans="1:2" x14ac:dyDescent="0.25">
      <c r="A31" s="8" t="s">
        <v>7</v>
      </c>
      <c r="B31">
        <v>45</v>
      </c>
    </row>
    <row r="32" spans="1:2" x14ac:dyDescent="0.25">
      <c r="A32" s="8" t="s">
        <v>51</v>
      </c>
      <c r="B32">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
  <sheetViews>
    <sheetView tabSelected="1" workbookViewId="0">
      <selection activeCell="O18" sqref="O18"/>
    </sheetView>
  </sheetViews>
  <sheetFormatPr defaultRowHeight="15" zeroHeight="1" x14ac:dyDescent="0.25"/>
  <cols>
    <col min="1" max="1" width="23.42578125" customWidth="1"/>
    <col min="2" max="2" width="19.7109375" customWidth="1"/>
    <col min="3" max="3" width="22" customWidth="1"/>
    <col min="4" max="4" width="22.140625" customWidth="1"/>
    <col min="5" max="5" width="20.42578125" style="2" customWidth="1"/>
    <col min="6" max="6" width="24.140625" customWidth="1"/>
  </cols>
  <sheetData>
    <row r="1" spans="1:6" x14ac:dyDescent="0.25">
      <c r="A1" s="3" t="s">
        <v>0</v>
      </c>
      <c r="B1" s="3" t="s">
        <v>1</v>
      </c>
      <c r="C1" s="3" t="s">
        <v>2</v>
      </c>
      <c r="D1" s="3" t="s">
        <v>3</v>
      </c>
      <c r="E1" s="4" t="s">
        <v>4</v>
      </c>
      <c r="F1" s="9" t="s">
        <v>60</v>
      </c>
    </row>
    <row r="2" spans="1:6" x14ac:dyDescent="0.25">
      <c r="A2" s="1">
        <v>45680</v>
      </c>
      <c r="B2" t="s">
        <v>5</v>
      </c>
      <c r="C2" t="s">
        <v>6</v>
      </c>
      <c r="D2" t="s">
        <v>5</v>
      </c>
      <c r="E2" s="2">
        <v>1581000</v>
      </c>
      <c r="F2" t="s">
        <v>61</v>
      </c>
    </row>
    <row r="3" spans="1:6" x14ac:dyDescent="0.25">
      <c r="A3" s="1">
        <v>45683</v>
      </c>
      <c r="B3" t="s">
        <v>7</v>
      </c>
      <c r="C3" t="s">
        <v>8</v>
      </c>
      <c r="D3" t="s">
        <v>9</v>
      </c>
      <c r="E3" s="2">
        <v>62000</v>
      </c>
      <c r="F3" t="s">
        <v>62</v>
      </c>
    </row>
    <row r="4" spans="1:6" x14ac:dyDescent="0.25">
      <c r="A4" s="1">
        <v>45684</v>
      </c>
      <c r="B4" t="s">
        <v>7</v>
      </c>
      <c r="C4" t="s">
        <v>10</v>
      </c>
      <c r="D4" t="s">
        <v>11</v>
      </c>
      <c r="E4" s="2">
        <v>20000</v>
      </c>
      <c r="F4" t="s">
        <v>63</v>
      </c>
    </row>
    <row r="5" spans="1:6" x14ac:dyDescent="0.25">
      <c r="A5" s="1">
        <v>45685</v>
      </c>
      <c r="B5" t="s">
        <v>7</v>
      </c>
      <c r="C5" t="s">
        <v>10</v>
      </c>
      <c r="D5" t="s">
        <v>11</v>
      </c>
      <c r="E5" s="2">
        <v>25000</v>
      </c>
      <c r="F5" t="s">
        <v>63</v>
      </c>
    </row>
    <row r="6" spans="1:6" x14ac:dyDescent="0.25">
      <c r="A6" s="1">
        <v>45686</v>
      </c>
      <c r="B6" t="s">
        <v>7</v>
      </c>
      <c r="C6" t="s">
        <v>8</v>
      </c>
      <c r="D6" t="s">
        <v>12</v>
      </c>
      <c r="E6" s="2">
        <v>10000</v>
      </c>
      <c r="F6" t="s">
        <v>63</v>
      </c>
    </row>
    <row r="7" spans="1:6" x14ac:dyDescent="0.25">
      <c r="A7" s="1">
        <v>45687</v>
      </c>
      <c r="B7" t="s">
        <v>7</v>
      </c>
      <c r="C7" t="s">
        <v>8</v>
      </c>
      <c r="D7" t="s">
        <v>12</v>
      </c>
      <c r="E7" s="2">
        <v>6000</v>
      </c>
      <c r="F7" t="s">
        <v>62</v>
      </c>
    </row>
    <row r="8" spans="1:6" x14ac:dyDescent="0.25">
      <c r="A8" s="1">
        <v>45688</v>
      </c>
      <c r="B8" t="s">
        <v>13</v>
      </c>
      <c r="C8" t="s">
        <v>14</v>
      </c>
      <c r="D8" t="s">
        <v>15</v>
      </c>
      <c r="E8" s="2">
        <v>10000</v>
      </c>
      <c r="F8" t="s">
        <v>62</v>
      </c>
    </row>
    <row r="9" spans="1:6" x14ac:dyDescent="0.25">
      <c r="A9" s="1">
        <v>45690</v>
      </c>
      <c r="B9" t="s">
        <v>7</v>
      </c>
      <c r="C9" t="s">
        <v>16</v>
      </c>
      <c r="D9" t="s">
        <v>17</v>
      </c>
      <c r="E9" s="2">
        <v>48500</v>
      </c>
      <c r="F9" t="s">
        <v>62</v>
      </c>
    </row>
    <row r="10" spans="1:6" x14ac:dyDescent="0.25">
      <c r="A10" s="1">
        <v>45691</v>
      </c>
      <c r="B10" t="s">
        <v>13</v>
      </c>
      <c r="C10" t="s">
        <v>18</v>
      </c>
      <c r="D10" t="s">
        <v>19</v>
      </c>
      <c r="E10" s="2">
        <v>65000</v>
      </c>
      <c r="F10" t="s">
        <v>62</v>
      </c>
    </row>
    <row r="11" spans="1:6" x14ac:dyDescent="0.25">
      <c r="A11" s="1">
        <v>45692</v>
      </c>
      <c r="B11" t="s">
        <v>13</v>
      </c>
      <c r="C11" t="s">
        <v>14</v>
      </c>
      <c r="D11" t="s">
        <v>15</v>
      </c>
      <c r="E11" s="2">
        <v>10000</v>
      </c>
      <c r="F11" t="s">
        <v>62</v>
      </c>
    </row>
    <row r="12" spans="1:6" x14ac:dyDescent="0.25">
      <c r="A12" s="1">
        <v>45693</v>
      </c>
      <c r="B12" t="s">
        <v>7</v>
      </c>
      <c r="C12" t="s">
        <v>20</v>
      </c>
      <c r="D12" t="s">
        <v>12</v>
      </c>
      <c r="E12" s="2">
        <v>38000</v>
      </c>
      <c r="F12" t="s">
        <v>62</v>
      </c>
    </row>
    <row r="13" spans="1:6" x14ac:dyDescent="0.25">
      <c r="A13" s="1">
        <v>45694</v>
      </c>
      <c r="B13" t="s">
        <v>13</v>
      </c>
      <c r="C13" t="s">
        <v>20</v>
      </c>
      <c r="D13" t="s">
        <v>21</v>
      </c>
      <c r="E13" s="2">
        <v>40000</v>
      </c>
      <c r="F13" t="s">
        <v>63</v>
      </c>
    </row>
    <row r="14" spans="1:6" x14ac:dyDescent="0.25">
      <c r="A14" s="1">
        <v>45694</v>
      </c>
      <c r="B14" t="s">
        <v>13</v>
      </c>
      <c r="C14" t="s">
        <v>18</v>
      </c>
      <c r="D14" t="s">
        <v>19</v>
      </c>
      <c r="E14" s="2">
        <v>35000</v>
      </c>
      <c r="F14" t="s">
        <v>62</v>
      </c>
    </row>
    <row r="15" spans="1:6" x14ac:dyDescent="0.25">
      <c r="A15" s="1">
        <v>45695</v>
      </c>
      <c r="B15" t="s">
        <v>7</v>
      </c>
      <c r="C15" t="s">
        <v>22</v>
      </c>
      <c r="D15" t="s">
        <v>12</v>
      </c>
      <c r="E15" s="2">
        <v>36000</v>
      </c>
      <c r="F15" t="s">
        <v>62</v>
      </c>
    </row>
    <row r="16" spans="1:6" x14ac:dyDescent="0.25">
      <c r="A16" s="1">
        <v>45696</v>
      </c>
      <c r="B16" t="s">
        <v>13</v>
      </c>
      <c r="C16" t="s">
        <v>20</v>
      </c>
      <c r="D16" t="s">
        <v>21</v>
      </c>
      <c r="E16" s="2">
        <v>55000</v>
      </c>
      <c r="F16" t="s">
        <v>62</v>
      </c>
    </row>
    <row r="17" spans="1:6" x14ac:dyDescent="0.25">
      <c r="A17" s="1">
        <v>45698</v>
      </c>
      <c r="B17" t="s">
        <v>13</v>
      </c>
      <c r="C17" t="s">
        <v>23</v>
      </c>
      <c r="D17" t="s">
        <v>24</v>
      </c>
      <c r="E17" s="2">
        <v>60000</v>
      </c>
      <c r="F17" t="s">
        <v>62</v>
      </c>
    </row>
    <row r="18" spans="1:6" x14ac:dyDescent="0.25">
      <c r="A18" s="1">
        <v>45699</v>
      </c>
      <c r="B18" t="s">
        <v>13</v>
      </c>
      <c r="C18" t="s">
        <v>23</v>
      </c>
      <c r="D18" t="s">
        <v>24</v>
      </c>
      <c r="E18" s="2">
        <v>60000</v>
      </c>
      <c r="F18" t="s">
        <v>62</v>
      </c>
    </row>
    <row r="19" spans="1:6" x14ac:dyDescent="0.25">
      <c r="A19" s="1">
        <v>45699</v>
      </c>
      <c r="B19" t="s">
        <v>7</v>
      </c>
      <c r="C19" t="s">
        <v>25</v>
      </c>
      <c r="D19" t="s">
        <v>26</v>
      </c>
      <c r="E19" s="2">
        <v>14000</v>
      </c>
      <c r="F19" t="s">
        <v>62</v>
      </c>
    </row>
    <row r="20" spans="1:6" x14ac:dyDescent="0.25">
      <c r="A20" s="1">
        <v>45700</v>
      </c>
      <c r="B20" t="s">
        <v>7</v>
      </c>
      <c r="C20" t="s">
        <v>27</v>
      </c>
      <c r="D20" t="s">
        <v>28</v>
      </c>
      <c r="E20" s="2">
        <v>35000</v>
      </c>
      <c r="F20" t="s">
        <v>62</v>
      </c>
    </row>
    <row r="21" spans="1:6" x14ac:dyDescent="0.25">
      <c r="A21" s="1">
        <v>45701</v>
      </c>
      <c r="B21" t="s">
        <v>13</v>
      </c>
      <c r="C21" t="s">
        <v>23</v>
      </c>
      <c r="D21" t="s">
        <v>24</v>
      </c>
      <c r="E21" s="2">
        <v>75000</v>
      </c>
      <c r="F21" t="s">
        <v>62</v>
      </c>
    </row>
    <row r="22" spans="1:6" x14ac:dyDescent="0.25">
      <c r="A22" s="1">
        <v>45703</v>
      </c>
      <c r="B22" t="s">
        <v>13</v>
      </c>
      <c r="C22" t="s">
        <v>20</v>
      </c>
      <c r="D22" t="s">
        <v>21</v>
      </c>
      <c r="E22" s="2">
        <v>45000</v>
      </c>
      <c r="F22" t="s">
        <v>62</v>
      </c>
    </row>
    <row r="23" spans="1:6" x14ac:dyDescent="0.25">
      <c r="A23" s="1">
        <v>45705</v>
      </c>
      <c r="B23" t="s">
        <v>13</v>
      </c>
      <c r="C23" t="s">
        <v>23</v>
      </c>
      <c r="D23" t="s">
        <v>24</v>
      </c>
      <c r="E23" s="2">
        <v>45000</v>
      </c>
      <c r="F23" t="s">
        <v>62</v>
      </c>
    </row>
    <row r="24" spans="1:6" x14ac:dyDescent="0.25">
      <c r="A24" s="1">
        <v>45706</v>
      </c>
      <c r="B24" t="s">
        <v>13</v>
      </c>
      <c r="C24" t="s">
        <v>8</v>
      </c>
      <c r="D24" t="s">
        <v>9</v>
      </c>
      <c r="E24" s="2">
        <v>16000</v>
      </c>
      <c r="F24" t="s">
        <v>62</v>
      </c>
    </row>
    <row r="25" spans="1:6" x14ac:dyDescent="0.25">
      <c r="A25" s="1">
        <v>45707</v>
      </c>
      <c r="B25" t="s">
        <v>13</v>
      </c>
      <c r="C25" t="s">
        <v>23</v>
      </c>
      <c r="D25" t="s">
        <v>24</v>
      </c>
      <c r="E25" s="2">
        <v>30000</v>
      </c>
      <c r="F25" t="s">
        <v>62</v>
      </c>
    </row>
    <row r="26" spans="1:6" x14ac:dyDescent="0.25">
      <c r="A26" s="1">
        <v>45708</v>
      </c>
      <c r="B26" t="s">
        <v>13</v>
      </c>
      <c r="C26" t="s">
        <v>14</v>
      </c>
      <c r="D26" t="s">
        <v>15</v>
      </c>
      <c r="E26" s="2">
        <v>45000</v>
      </c>
      <c r="F26" t="s">
        <v>63</v>
      </c>
    </row>
    <row r="27" spans="1:6" x14ac:dyDescent="0.25">
      <c r="A27" s="1">
        <v>45709</v>
      </c>
      <c r="B27" t="s">
        <v>7</v>
      </c>
      <c r="C27" t="s">
        <v>8</v>
      </c>
      <c r="D27" t="s">
        <v>12</v>
      </c>
      <c r="E27" s="2">
        <v>25000</v>
      </c>
      <c r="F27" t="s">
        <v>62</v>
      </c>
    </row>
    <row r="28" spans="1:6" x14ac:dyDescent="0.25">
      <c r="A28" s="1">
        <v>45711</v>
      </c>
      <c r="B28" t="s">
        <v>13</v>
      </c>
      <c r="C28" t="s">
        <v>14</v>
      </c>
      <c r="D28" t="s">
        <v>15</v>
      </c>
      <c r="E28" s="2">
        <v>45000</v>
      </c>
      <c r="F28" t="s">
        <v>62</v>
      </c>
    </row>
    <row r="29" spans="1:6" x14ac:dyDescent="0.25">
      <c r="A29" s="1">
        <v>45714</v>
      </c>
      <c r="B29" t="s">
        <v>13</v>
      </c>
      <c r="C29" t="s">
        <v>20</v>
      </c>
      <c r="D29" t="s">
        <v>21</v>
      </c>
      <c r="E29" s="2">
        <v>30000</v>
      </c>
      <c r="F29" t="s">
        <v>62</v>
      </c>
    </row>
    <row r="30" spans="1:6" x14ac:dyDescent="0.25">
      <c r="A30" s="1">
        <v>45715</v>
      </c>
      <c r="B30" t="s">
        <v>7</v>
      </c>
      <c r="C30" t="s">
        <v>10</v>
      </c>
      <c r="D30" t="s">
        <v>11</v>
      </c>
      <c r="E30" s="2">
        <v>25000</v>
      </c>
      <c r="F30" t="s">
        <v>63</v>
      </c>
    </row>
    <row r="31" spans="1:6" x14ac:dyDescent="0.25">
      <c r="A31" s="1">
        <v>45716</v>
      </c>
      <c r="B31" t="s">
        <v>7</v>
      </c>
      <c r="C31" t="s">
        <v>25</v>
      </c>
      <c r="D31" t="s">
        <v>26</v>
      </c>
      <c r="E31" s="2">
        <v>30000</v>
      </c>
      <c r="F31" t="s">
        <v>62</v>
      </c>
    </row>
    <row r="32" spans="1:6" x14ac:dyDescent="0.25">
      <c r="A32" s="1">
        <v>45716</v>
      </c>
      <c r="B32" t="s">
        <v>7</v>
      </c>
      <c r="C32" t="s">
        <v>10</v>
      </c>
      <c r="D32" t="s">
        <v>11</v>
      </c>
      <c r="E32" s="2">
        <v>25000</v>
      </c>
      <c r="F32" t="s">
        <v>63</v>
      </c>
    </row>
    <row r="33" spans="1:6" x14ac:dyDescent="0.25">
      <c r="A33" s="1">
        <v>45717</v>
      </c>
      <c r="B33" t="s">
        <v>13</v>
      </c>
      <c r="C33" t="s">
        <v>18</v>
      </c>
      <c r="D33" t="s">
        <v>19</v>
      </c>
      <c r="E33" s="2">
        <v>30000</v>
      </c>
      <c r="F33" t="s">
        <v>62</v>
      </c>
    </row>
    <row r="34" spans="1:6" x14ac:dyDescent="0.25">
      <c r="A34" s="1">
        <v>45720</v>
      </c>
      <c r="B34" t="s">
        <v>7</v>
      </c>
      <c r="C34" t="s">
        <v>10</v>
      </c>
      <c r="D34" t="s">
        <v>11</v>
      </c>
      <c r="E34" s="2">
        <v>16000</v>
      </c>
      <c r="F34" t="s">
        <v>63</v>
      </c>
    </row>
    <row r="35" spans="1:6" x14ac:dyDescent="0.25">
      <c r="A35" s="1">
        <v>45720</v>
      </c>
      <c r="B35" t="s">
        <v>13</v>
      </c>
      <c r="C35" t="s">
        <v>8</v>
      </c>
      <c r="D35" t="s">
        <v>9</v>
      </c>
      <c r="E35" s="2">
        <v>35000</v>
      </c>
      <c r="F35" t="s">
        <v>62</v>
      </c>
    </row>
    <row r="36" spans="1:6" x14ac:dyDescent="0.25">
      <c r="A36" s="1">
        <v>45721</v>
      </c>
      <c r="B36" t="s">
        <v>13</v>
      </c>
      <c r="C36" t="s">
        <v>18</v>
      </c>
      <c r="D36" t="s">
        <v>19</v>
      </c>
      <c r="E36" s="2">
        <v>40000</v>
      </c>
      <c r="F36" t="s">
        <v>62</v>
      </c>
    </row>
    <row r="37" spans="1:6" x14ac:dyDescent="0.25">
      <c r="A37" s="1">
        <v>45721</v>
      </c>
      <c r="B37" t="s">
        <v>7</v>
      </c>
      <c r="C37" t="s">
        <v>8</v>
      </c>
      <c r="D37" t="s">
        <v>12</v>
      </c>
      <c r="E37" s="2">
        <v>25000</v>
      </c>
      <c r="F37" t="s">
        <v>62</v>
      </c>
    </row>
    <row r="38" spans="1:6" x14ac:dyDescent="0.25">
      <c r="A38" s="1">
        <v>45724</v>
      </c>
      <c r="B38" t="s">
        <v>13</v>
      </c>
      <c r="C38" t="s">
        <v>14</v>
      </c>
      <c r="D38" t="s">
        <v>15</v>
      </c>
      <c r="E38" s="2">
        <v>25000</v>
      </c>
      <c r="F38" t="s">
        <v>62</v>
      </c>
    </row>
    <row r="39" spans="1:6" x14ac:dyDescent="0.25">
      <c r="A39" s="1">
        <v>45724</v>
      </c>
      <c r="B39" t="s">
        <v>13</v>
      </c>
      <c r="C39" t="s">
        <v>14</v>
      </c>
      <c r="D39" t="s">
        <v>15</v>
      </c>
      <c r="E39" s="2">
        <v>30000</v>
      </c>
      <c r="F39" t="s">
        <v>62</v>
      </c>
    </row>
    <row r="40" spans="1:6" x14ac:dyDescent="0.25">
      <c r="A40" s="1">
        <v>45726</v>
      </c>
      <c r="B40" t="s">
        <v>13</v>
      </c>
      <c r="C40" t="s">
        <v>18</v>
      </c>
      <c r="D40" t="s">
        <v>19</v>
      </c>
      <c r="E40" s="2">
        <v>55000</v>
      </c>
      <c r="F40" t="s">
        <v>62</v>
      </c>
    </row>
    <row r="41" spans="1:6" x14ac:dyDescent="0.25">
      <c r="A41" s="1">
        <v>45726</v>
      </c>
      <c r="B41" t="s">
        <v>13</v>
      </c>
      <c r="C41" t="s">
        <v>8</v>
      </c>
      <c r="D41" t="s">
        <v>9</v>
      </c>
      <c r="E41" s="2">
        <v>40000</v>
      </c>
      <c r="F41" t="s">
        <v>61</v>
      </c>
    </row>
    <row r="42" spans="1:6" x14ac:dyDescent="0.25">
      <c r="A42" s="1">
        <v>45727</v>
      </c>
      <c r="B42" t="s">
        <v>13</v>
      </c>
      <c r="C42" t="s">
        <v>8</v>
      </c>
      <c r="D42" t="s">
        <v>9</v>
      </c>
      <c r="E42" s="2">
        <v>25000</v>
      </c>
      <c r="F42" t="s">
        <v>62</v>
      </c>
    </row>
    <row r="43" spans="1:6" x14ac:dyDescent="0.25">
      <c r="A43" s="1">
        <v>45729</v>
      </c>
      <c r="B43" t="s">
        <v>13</v>
      </c>
      <c r="C43" t="s">
        <v>18</v>
      </c>
      <c r="D43" t="s">
        <v>19</v>
      </c>
      <c r="E43" s="2">
        <v>60000</v>
      </c>
      <c r="F43" t="s">
        <v>62</v>
      </c>
    </row>
    <row r="44" spans="1:6" x14ac:dyDescent="0.25">
      <c r="A44" s="1">
        <v>45734</v>
      </c>
      <c r="B44" t="s">
        <v>7</v>
      </c>
      <c r="C44" t="s">
        <v>25</v>
      </c>
      <c r="D44" t="s">
        <v>26</v>
      </c>
      <c r="E44" s="2">
        <v>19000</v>
      </c>
      <c r="F44" t="s">
        <v>62</v>
      </c>
    </row>
    <row r="45" spans="1:6" x14ac:dyDescent="0.25">
      <c r="A45" s="1">
        <v>45735</v>
      </c>
      <c r="B45" t="s">
        <v>7</v>
      </c>
      <c r="C45" t="s">
        <v>10</v>
      </c>
      <c r="D45" t="s">
        <v>11</v>
      </c>
      <c r="E45" s="2">
        <v>20000</v>
      </c>
      <c r="F45" t="s">
        <v>63</v>
      </c>
    </row>
    <row r="46" spans="1:6" x14ac:dyDescent="0.25">
      <c r="A46" s="1">
        <v>45735</v>
      </c>
      <c r="B46" t="s">
        <v>13</v>
      </c>
      <c r="C46" t="s">
        <v>18</v>
      </c>
      <c r="D46" t="s">
        <v>19</v>
      </c>
      <c r="E46" s="2">
        <v>45000</v>
      </c>
      <c r="F46" t="s">
        <v>62</v>
      </c>
    </row>
    <row r="47" spans="1:6" x14ac:dyDescent="0.25">
      <c r="A47" s="1">
        <v>45736</v>
      </c>
      <c r="B47" t="s">
        <v>13</v>
      </c>
      <c r="C47" t="s">
        <v>14</v>
      </c>
      <c r="D47" t="s">
        <v>15</v>
      </c>
      <c r="E47" s="2">
        <v>45000</v>
      </c>
      <c r="F47" t="s">
        <v>62</v>
      </c>
    </row>
    <row r="48" spans="1:6" x14ac:dyDescent="0.25">
      <c r="A48" s="1">
        <v>45736</v>
      </c>
      <c r="B48" t="s">
        <v>13</v>
      </c>
      <c r="C48" t="s">
        <v>20</v>
      </c>
      <c r="D48" t="s">
        <v>21</v>
      </c>
      <c r="E48" s="2">
        <v>55000</v>
      </c>
      <c r="F48" t="s">
        <v>62</v>
      </c>
    </row>
    <row r="49" spans="1:6" x14ac:dyDescent="0.25">
      <c r="A49" s="1">
        <v>45738</v>
      </c>
      <c r="B49" t="s">
        <v>13</v>
      </c>
      <c r="C49" t="s">
        <v>14</v>
      </c>
      <c r="D49" t="s">
        <v>15</v>
      </c>
      <c r="E49" s="2">
        <v>35000</v>
      </c>
      <c r="F49" t="s">
        <v>62</v>
      </c>
    </row>
    <row r="50" spans="1:6" x14ac:dyDescent="0.25">
      <c r="A50" s="1">
        <v>45739</v>
      </c>
      <c r="B50" t="s">
        <v>7</v>
      </c>
      <c r="C50" t="s">
        <v>10</v>
      </c>
      <c r="D50" t="s">
        <v>11</v>
      </c>
      <c r="E50" s="2">
        <v>25000</v>
      </c>
      <c r="F50" t="s">
        <v>63</v>
      </c>
    </row>
    <row r="51" spans="1:6" x14ac:dyDescent="0.25">
      <c r="A51" s="1">
        <v>45740</v>
      </c>
      <c r="B51" t="s">
        <v>13</v>
      </c>
      <c r="C51" t="s">
        <v>23</v>
      </c>
      <c r="D51" t="s">
        <v>24</v>
      </c>
      <c r="E51" s="2">
        <v>65000</v>
      </c>
      <c r="F51" t="s">
        <v>62</v>
      </c>
    </row>
    <row r="52" spans="1:6" x14ac:dyDescent="0.25">
      <c r="A52" s="1">
        <v>45740</v>
      </c>
      <c r="B52" t="s">
        <v>13</v>
      </c>
      <c r="C52" t="s">
        <v>8</v>
      </c>
      <c r="D52" t="s">
        <v>9</v>
      </c>
      <c r="E52" s="2">
        <v>17000</v>
      </c>
      <c r="F52" t="s">
        <v>63</v>
      </c>
    </row>
    <row r="53" spans="1:6" x14ac:dyDescent="0.25">
      <c r="A53" s="1">
        <v>45741</v>
      </c>
      <c r="B53" t="s">
        <v>13</v>
      </c>
      <c r="C53" t="s">
        <v>8</v>
      </c>
      <c r="D53" t="s">
        <v>9</v>
      </c>
      <c r="E53" s="2">
        <v>50000</v>
      </c>
      <c r="F53" t="s">
        <v>62</v>
      </c>
    </row>
    <row r="54" spans="1:6" x14ac:dyDescent="0.25">
      <c r="A54" s="1">
        <v>45742</v>
      </c>
      <c r="B54" t="s">
        <v>7</v>
      </c>
      <c r="C54" t="s">
        <v>8</v>
      </c>
      <c r="D54" t="s">
        <v>12</v>
      </c>
      <c r="E54" s="2">
        <v>18000</v>
      </c>
      <c r="F54" t="s">
        <v>62</v>
      </c>
    </row>
    <row r="55" spans="1:6" x14ac:dyDescent="0.25">
      <c r="A55" s="1">
        <v>45743</v>
      </c>
      <c r="B55" t="s">
        <v>13</v>
      </c>
      <c r="C55" t="s">
        <v>8</v>
      </c>
      <c r="D55" t="s">
        <v>9</v>
      </c>
      <c r="E55" s="2">
        <v>27000</v>
      </c>
      <c r="F55" t="s">
        <v>62</v>
      </c>
    </row>
    <row r="56" spans="1:6" x14ac:dyDescent="0.25">
      <c r="A56" s="1">
        <v>45744</v>
      </c>
      <c r="B56" t="s">
        <v>13</v>
      </c>
      <c r="C56" t="s">
        <v>8</v>
      </c>
      <c r="D56" t="s">
        <v>9</v>
      </c>
      <c r="E56" s="2">
        <v>30000</v>
      </c>
      <c r="F56" t="s">
        <v>62</v>
      </c>
    </row>
    <row r="57" spans="1:6" x14ac:dyDescent="0.25">
      <c r="A57" s="1">
        <v>45745</v>
      </c>
      <c r="B57" t="s">
        <v>13</v>
      </c>
      <c r="C57" t="s">
        <v>23</v>
      </c>
      <c r="D57" t="s">
        <v>24</v>
      </c>
      <c r="E57" s="2">
        <v>30000</v>
      </c>
      <c r="F57" t="s">
        <v>63</v>
      </c>
    </row>
    <row r="58" spans="1:6" x14ac:dyDescent="0.25">
      <c r="A58" s="1">
        <v>45745</v>
      </c>
      <c r="B58" t="s">
        <v>13</v>
      </c>
      <c r="C58" t="s">
        <v>20</v>
      </c>
      <c r="D58" t="s">
        <v>21</v>
      </c>
      <c r="E58" s="2">
        <v>40000</v>
      </c>
      <c r="F58" t="s">
        <v>62</v>
      </c>
    </row>
    <row r="59" spans="1:6" x14ac:dyDescent="0.25">
      <c r="A59" s="1">
        <v>45748</v>
      </c>
      <c r="B59" t="s">
        <v>7</v>
      </c>
      <c r="C59" t="s">
        <v>25</v>
      </c>
      <c r="D59" t="s">
        <v>26</v>
      </c>
      <c r="E59" s="2">
        <v>30000</v>
      </c>
      <c r="F59" t="s">
        <v>62</v>
      </c>
    </row>
    <row r="60" spans="1:6" x14ac:dyDescent="0.25">
      <c r="A60" s="1">
        <v>45749</v>
      </c>
      <c r="B60" t="s">
        <v>7</v>
      </c>
      <c r="C60" t="s">
        <v>8</v>
      </c>
      <c r="D60" t="s">
        <v>12</v>
      </c>
      <c r="E60" s="2">
        <v>5000</v>
      </c>
      <c r="F60" t="s">
        <v>62</v>
      </c>
    </row>
    <row r="61" spans="1:6" x14ac:dyDescent="0.25">
      <c r="A61" s="1">
        <v>45749</v>
      </c>
      <c r="B61" t="s">
        <v>13</v>
      </c>
      <c r="C61" t="s">
        <v>14</v>
      </c>
      <c r="D61" t="s">
        <v>15</v>
      </c>
      <c r="E61" s="2">
        <v>40000</v>
      </c>
      <c r="F61" t="s">
        <v>62</v>
      </c>
    </row>
    <row r="62" spans="1:6" x14ac:dyDescent="0.25">
      <c r="A62" s="1">
        <v>45750</v>
      </c>
      <c r="B62" t="s">
        <v>7</v>
      </c>
      <c r="C62" t="s">
        <v>8</v>
      </c>
      <c r="D62" t="s">
        <v>12</v>
      </c>
      <c r="E62" s="2">
        <v>25000</v>
      </c>
      <c r="F62" t="s">
        <v>62</v>
      </c>
    </row>
    <row r="63" spans="1:6" x14ac:dyDescent="0.25">
      <c r="A63" s="1">
        <v>45753</v>
      </c>
      <c r="B63" t="s">
        <v>7</v>
      </c>
      <c r="C63" t="s">
        <v>25</v>
      </c>
      <c r="D63" t="s">
        <v>26</v>
      </c>
      <c r="E63" s="2">
        <v>25000</v>
      </c>
      <c r="F63" t="s">
        <v>62</v>
      </c>
    </row>
    <row r="64" spans="1:6" x14ac:dyDescent="0.25">
      <c r="A64" s="1">
        <v>45753</v>
      </c>
      <c r="B64" t="s">
        <v>13</v>
      </c>
      <c r="C64" t="s">
        <v>20</v>
      </c>
      <c r="D64" t="s">
        <v>21</v>
      </c>
      <c r="E64" s="2">
        <v>65000</v>
      </c>
      <c r="F64" t="s">
        <v>62</v>
      </c>
    </row>
    <row r="65" spans="1:6" x14ac:dyDescent="0.25">
      <c r="A65" s="1">
        <v>45755</v>
      </c>
      <c r="B65" t="s">
        <v>13</v>
      </c>
      <c r="C65" t="s">
        <v>18</v>
      </c>
      <c r="D65" t="s">
        <v>19</v>
      </c>
      <c r="E65" s="2">
        <v>50000</v>
      </c>
      <c r="F65" t="s">
        <v>62</v>
      </c>
    </row>
    <row r="66" spans="1:6" x14ac:dyDescent="0.25">
      <c r="A66" s="1">
        <v>45755</v>
      </c>
      <c r="B66" t="s">
        <v>13</v>
      </c>
      <c r="C66" t="s">
        <v>23</v>
      </c>
      <c r="D66" t="s">
        <v>24</v>
      </c>
      <c r="E66" s="2">
        <v>55000</v>
      </c>
      <c r="F66" t="s">
        <v>62</v>
      </c>
    </row>
    <row r="67" spans="1:6" x14ac:dyDescent="0.25">
      <c r="A67" s="1">
        <v>45756</v>
      </c>
      <c r="B67" t="s">
        <v>13</v>
      </c>
      <c r="C67" t="s">
        <v>8</v>
      </c>
      <c r="D67" t="s">
        <v>9</v>
      </c>
      <c r="E67" s="2">
        <v>23000</v>
      </c>
      <c r="F67" t="s">
        <v>62</v>
      </c>
    </row>
    <row r="68" spans="1:6" x14ac:dyDescent="0.25">
      <c r="A68" s="1">
        <v>45757</v>
      </c>
      <c r="B68" t="s">
        <v>13</v>
      </c>
      <c r="C68" t="s">
        <v>20</v>
      </c>
      <c r="D68" t="s">
        <v>21</v>
      </c>
      <c r="E68" s="2">
        <v>60000</v>
      </c>
      <c r="F68" t="s">
        <v>62</v>
      </c>
    </row>
    <row r="69" spans="1:6" x14ac:dyDescent="0.25">
      <c r="A69" s="1">
        <v>45759</v>
      </c>
      <c r="B69" t="s">
        <v>13</v>
      </c>
      <c r="C69" t="s">
        <v>23</v>
      </c>
      <c r="D69" t="s">
        <v>24</v>
      </c>
      <c r="E69" s="2">
        <v>55000</v>
      </c>
      <c r="F69" t="s">
        <v>62</v>
      </c>
    </row>
    <row r="70" spans="1:6" x14ac:dyDescent="0.25">
      <c r="A70" s="1">
        <v>45760</v>
      </c>
      <c r="B70" t="s">
        <v>13</v>
      </c>
      <c r="C70" t="s">
        <v>8</v>
      </c>
      <c r="D70" t="s">
        <v>12</v>
      </c>
      <c r="E70" s="2">
        <v>37000</v>
      </c>
      <c r="F70" t="s">
        <v>62</v>
      </c>
    </row>
    <row r="71" spans="1:6" x14ac:dyDescent="0.25">
      <c r="A71" s="1">
        <v>45760</v>
      </c>
      <c r="B71" t="s">
        <v>7</v>
      </c>
      <c r="C71" t="s">
        <v>29</v>
      </c>
      <c r="D71" t="s">
        <v>30</v>
      </c>
      <c r="E71" s="2">
        <v>60000</v>
      </c>
      <c r="F71" t="s">
        <v>61</v>
      </c>
    </row>
    <row r="72" spans="1:6" x14ac:dyDescent="0.25">
      <c r="A72" s="1">
        <v>45761</v>
      </c>
      <c r="B72" t="s">
        <v>13</v>
      </c>
      <c r="C72" t="s">
        <v>8</v>
      </c>
      <c r="D72" t="s">
        <v>9</v>
      </c>
      <c r="E72" s="2">
        <v>12000</v>
      </c>
      <c r="F72" t="s">
        <v>62</v>
      </c>
    </row>
    <row r="73" spans="1:6" x14ac:dyDescent="0.25">
      <c r="A73" s="1">
        <v>45761</v>
      </c>
      <c r="B73" t="s">
        <v>7</v>
      </c>
      <c r="C73" t="s">
        <v>8</v>
      </c>
      <c r="D73" t="s">
        <v>12</v>
      </c>
      <c r="E73" s="2">
        <v>10000</v>
      </c>
      <c r="F73" t="s">
        <v>62</v>
      </c>
    </row>
    <row r="74" spans="1:6" x14ac:dyDescent="0.25">
      <c r="A74" s="1">
        <v>45761</v>
      </c>
      <c r="B74" t="s">
        <v>13</v>
      </c>
      <c r="C74" t="s">
        <v>8</v>
      </c>
      <c r="D74" t="s">
        <v>9</v>
      </c>
      <c r="E74" s="2">
        <v>12000</v>
      </c>
      <c r="F74" t="s">
        <v>62</v>
      </c>
    </row>
    <row r="75" spans="1:6" x14ac:dyDescent="0.25">
      <c r="A75" s="1">
        <v>45762</v>
      </c>
      <c r="B75" t="s">
        <v>13</v>
      </c>
      <c r="C75" t="s">
        <v>8</v>
      </c>
      <c r="D75" t="s">
        <v>9</v>
      </c>
      <c r="E75" s="2">
        <v>12000</v>
      </c>
      <c r="F75" t="s">
        <v>63</v>
      </c>
    </row>
    <row r="76" spans="1:6" x14ac:dyDescent="0.25">
      <c r="A76" s="1">
        <v>45763</v>
      </c>
      <c r="B76" t="s">
        <v>13</v>
      </c>
      <c r="C76" t="s">
        <v>8</v>
      </c>
      <c r="D76" t="s">
        <v>12</v>
      </c>
      <c r="E76" s="2">
        <v>13500</v>
      </c>
      <c r="F76" t="s">
        <v>62</v>
      </c>
    </row>
    <row r="77" spans="1:6" x14ac:dyDescent="0.25">
      <c r="A77" s="1">
        <v>45763</v>
      </c>
      <c r="B77" t="s">
        <v>13</v>
      </c>
      <c r="C77" t="s">
        <v>8</v>
      </c>
      <c r="D77" t="s">
        <v>9</v>
      </c>
      <c r="E77" s="2">
        <v>22000</v>
      </c>
      <c r="F77" t="s">
        <v>62</v>
      </c>
    </row>
    <row r="78" spans="1:6" x14ac:dyDescent="0.25">
      <c r="A78" s="1">
        <v>45763</v>
      </c>
      <c r="B78" t="s">
        <v>7</v>
      </c>
      <c r="C78" t="s">
        <v>8</v>
      </c>
      <c r="D78" t="s">
        <v>15</v>
      </c>
      <c r="E78" s="2">
        <v>20000</v>
      </c>
      <c r="F78" t="s">
        <v>62</v>
      </c>
    </row>
    <row r="79" spans="1:6" x14ac:dyDescent="0.25">
      <c r="A79" s="1">
        <v>45763</v>
      </c>
      <c r="B79" t="s">
        <v>13</v>
      </c>
      <c r="C79" t="s">
        <v>31</v>
      </c>
      <c r="D79" t="s">
        <v>32</v>
      </c>
      <c r="E79" s="2">
        <v>100000</v>
      </c>
      <c r="F79" t="s">
        <v>62</v>
      </c>
    </row>
    <row r="80" spans="1:6" x14ac:dyDescent="0.25">
      <c r="A80" s="1">
        <v>45763</v>
      </c>
      <c r="B80" t="s">
        <v>13</v>
      </c>
      <c r="C80" t="s">
        <v>33</v>
      </c>
      <c r="D80" t="s">
        <v>33</v>
      </c>
      <c r="E80" s="2">
        <v>8000</v>
      </c>
      <c r="F80" t="s">
        <v>62</v>
      </c>
    </row>
    <row r="81" spans="1:6" x14ac:dyDescent="0.25">
      <c r="A81" s="1">
        <v>45764</v>
      </c>
      <c r="B81" t="s">
        <v>7</v>
      </c>
      <c r="C81" t="s">
        <v>29</v>
      </c>
      <c r="D81" t="s">
        <v>34</v>
      </c>
      <c r="E81" s="2">
        <v>100000</v>
      </c>
      <c r="F81" t="s">
        <v>62</v>
      </c>
    </row>
    <row r="82" spans="1:6" x14ac:dyDescent="0.25">
      <c r="A82" s="1">
        <v>45764</v>
      </c>
      <c r="B82" t="s">
        <v>13</v>
      </c>
      <c r="C82" t="s">
        <v>8</v>
      </c>
      <c r="D82" t="s">
        <v>9</v>
      </c>
      <c r="E82" s="2">
        <v>12000</v>
      </c>
      <c r="F82" t="s">
        <v>62</v>
      </c>
    </row>
    <row r="83" spans="1:6" x14ac:dyDescent="0.25">
      <c r="A83" s="1">
        <v>45765</v>
      </c>
      <c r="B83" t="s">
        <v>7</v>
      </c>
      <c r="C83" t="s">
        <v>8</v>
      </c>
      <c r="D83" t="s">
        <v>12</v>
      </c>
      <c r="E83" s="2">
        <v>8500</v>
      </c>
      <c r="F83" t="s">
        <v>62</v>
      </c>
    </row>
    <row r="84" spans="1:6" x14ac:dyDescent="0.25">
      <c r="A84" s="1">
        <v>45765</v>
      </c>
      <c r="B84" t="s">
        <v>13</v>
      </c>
      <c r="C84" t="s">
        <v>14</v>
      </c>
      <c r="D84" t="s">
        <v>15</v>
      </c>
      <c r="E84" s="2">
        <v>25000</v>
      </c>
      <c r="F84" t="s">
        <v>62</v>
      </c>
    </row>
    <row r="85" spans="1:6" x14ac:dyDescent="0.25">
      <c r="A85" s="1">
        <v>45765</v>
      </c>
      <c r="B85" t="s">
        <v>13</v>
      </c>
      <c r="C85" t="s">
        <v>8</v>
      </c>
      <c r="D85" t="s">
        <v>9</v>
      </c>
      <c r="E85" s="2">
        <v>15000</v>
      </c>
      <c r="F85" t="s">
        <v>62</v>
      </c>
    </row>
    <row r="86" spans="1:6" x14ac:dyDescent="0.25">
      <c r="A86" s="1">
        <v>45766</v>
      </c>
      <c r="B86" t="s">
        <v>13</v>
      </c>
      <c r="C86" t="s">
        <v>8</v>
      </c>
      <c r="D86" t="s">
        <v>9</v>
      </c>
      <c r="E86" s="2">
        <v>45000</v>
      </c>
      <c r="F86" t="s">
        <v>62</v>
      </c>
    </row>
    <row r="87" spans="1:6" x14ac:dyDescent="0.25">
      <c r="A87" s="1">
        <v>45767</v>
      </c>
      <c r="B87" t="s">
        <v>13</v>
      </c>
      <c r="C87" t="s">
        <v>8</v>
      </c>
      <c r="D87" t="s">
        <v>9</v>
      </c>
      <c r="E87" s="2">
        <v>51000</v>
      </c>
      <c r="F87" t="s">
        <v>62</v>
      </c>
    </row>
    <row r="88" spans="1:6" x14ac:dyDescent="0.25">
      <c r="A88" s="1">
        <v>45768</v>
      </c>
      <c r="B88" t="s">
        <v>13</v>
      </c>
      <c r="C88" t="s">
        <v>14</v>
      </c>
      <c r="D88" t="s">
        <v>9</v>
      </c>
      <c r="E88" s="2">
        <v>40000</v>
      </c>
      <c r="F88" t="s">
        <v>63</v>
      </c>
    </row>
    <row r="89" spans="1:6" x14ac:dyDescent="0.25">
      <c r="A89" s="1">
        <v>45769</v>
      </c>
      <c r="B89" t="s">
        <v>13</v>
      </c>
      <c r="C89" t="s">
        <v>8</v>
      </c>
      <c r="D89" t="s">
        <v>9</v>
      </c>
      <c r="E89" s="2">
        <v>24000</v>
      </c>
      <c r="F89" t="s">
        <v>62</v>
      </c>
    </row>
    <row r="90" spans="1:6" x14ac:dyDescent="0.25">
      <c r="A90" s="1">
        <v>45769</v>
      </c>
      <c r="B90" t="s">
        <v>13</v>
      </c>
      <c r="C90" t="s">
        <v>14</v>
      </c>
      <c r="D90" t="s">
        <v>15</v>
      </c>
      <c r="E90" s="2">
        <v>25000</v>
      </c>
      <c r="F90" t="s">
        <v>62</v>
      </c>
    </row>
    <row r="91" spans="1:6" x14ac:dyDescent="0.25">
      <c r="A91" s="1">
        <v>45770</v>
      </c>
      <c r="B91" t="s">
        <v>13</v>
      </c>
      <c r="C91" t="s">
        <v>8</v>
      </c>
      <c r="D91" t="s">
        <v>9</v>
      </c>
      <c r="E91" s="2">
        <v>14000</v>
      </c>
      <c r="F91" t="s">
        <v>62</v>
      </c>
    </row>
    <row r="92" spans="1:6" x14ac:dyDescent="0.25">
      <c r="A92" s="1">
        <v>45770</v>
      </c>
      <c r="B92" t="s">
        <v>7</v>
      </c>
      <c r="C92" t="s">
        <v>29</v>
      </c>
      <c r="D92" t="s">
        <v>35</v>
      </c>
      <c r="E92" s="2">
        <v>85000</v>
      </c>
      <c r="F92" t="s">
        <v>62</v>
      </c>
    </row>
    <row r="93" spans="1:6" x14ac:dyDescent="0.25">
      <c r="A93" s="1">
        <v>45771</v>
      </c>
      <c r="B93" t="s">
        <v>13</v>
      </c>
      <c r="C93" t="s">
        <v>8</v>
      </c>
      <c r="D93" t="s">
        <v>9</v>
      </c>
      <c r="E93" s="2">
        <v>40000</v>
      </c>
      <c r="F93" t="s">
        <v>62</v>
      </c>
    </row>
    <row r="94" spans="1:6" x14ac:dyDescent="0.25">
      <c r="A94" s="1">
        <v>45774</v>
      </c>
      <c r="B94" t="s">
        <v>7</v>
      </c>
      <c r="C94" t="s">
        <v>29</v>
      </c>
      <c r="D94" t="s">
        <v>36</v>
      </c>
      <c r="E94" s="2">
        <v>130000</v>
      </c>
      <c r="F94" t="s">
        <v>62</v>
      </c>
    </row>
    <row r="95" spans="1:6" x14ac:dyDescent="0.25">
      <c r="A95" s="1">
        <v>45775</v>
      </c>
      <c r="B95" t="s">
        <v>13</v>
      </c>
      <c r="C95" t="s">
        <v>8</v>
      </c>
      <c r="D95" t="s">
        <v>9</v>
      </c>
      <c r="E95" s="2">
        <v>27000</v>
      </c>
      <c r="F95" t="s">
        <v>62</v>
      </c>
    </row>
    <row r="96" spans="1:6" x14ac:dyDescent="0.25">
      <c r="A96" s="1">
        <v>45775</v>
      </c>
      <c r="B96" t="s">
        <v>13</v>
      </c>
      <c r="C96" t="s">
        <v>14</v>
      </c>
      <c r="D96" t="s">
        <v>15</v>
      </c>
      <c r="E96" s="2">
        <v>25000</v>
      </c>
      <c r="F96" t="s">
        <v>62</v>
      </c>
    </row>
    <row r="97" spans="1:6" x14ac:dyDescent="0.25">
      <c r="A97" s="1">
        <v>45776</v>
      </c>
      <c r="B97" t="s">
        <v>13</v>
      </c>
      <c r="C97" t="s">
        <v>8</v>
      </c>
      <c r="D97" t="s">
        <v>9</v>
      </c>
      <c r="E97" s="2">
        <v>34500</v>
      </c>
      <c r="F97" t="s">
        <v>62</v>
      </c>
    </row>
    <row r="98" spans="1:6" x14ac:dyDescent="0.25">
      <c r="A98" s="1">
        <v>45777</v>
      </c>
      <c r="B98" t="s">
        <v>13</v>
      </c>
      <c r="C98" t="s">
        <v>8</v>
      </c>
      <c r="D98" t="s">
        <v>9</v>
      </c>
      <c r="E98" s="2">
        <v>28000</v>
      </c>
      <c r="F98" t="s">
        <v>62</v>
      </c>
    </row>
    <row r="99" spans="1:6" x14ac:dyDescent="0.25">
      <c r="A99" s="1">
        <v>45777</v>
      </c>
      <c r="B99" t="s">
        <v>13</v>
      </c>
      <c r="C99" t="s">
        <v>8</v>
      </c>
      <c r="D99" t="s">
        <v>9</v>
      </c>
      <c r="E99" s="2">
        <v>28000</v>
      </c>
      <c r="F99" t="s">
        <v>62</v>
      </c>
    </row>
    <row r="100" spans="1:6" x14ac:dyDescent="0.25">
      <c r="A100" s="1">
        <v>45778</v>
      </c>
      <c r="B100" t="s">
        <v>7</v>
      </c>
      <c r="C100" t="s">
        <v>27</v>
      </c>
      <c r="D100" t="s">
        <v>28</v>
      </c>
      <c r="E100" s="2">
        <v>25000</v>
      </c>
      <c r="F100" t="s">
        <v>63</v>
      </c>
    </row>
    <row r="101" spans="1:6" x14ac:dyDescent="0.25">
      <c r="A101" s="1">
        <v>45779</v>
      </c>
      <c r="B101" t="s">
        <v>13</v>
      </c>
      <c r="C101" t="s">
        <v>8</v>
      </c>
      <c r="D101" t="s">
        <v>9</v>
      </c>
      <c r="E101" s="2">
        <v>38000</v>
      </c>
      <c r="F101" t="s">
        <v>62</v>
      </c>
    </row>
    <row r="102" spans="1:6" x14ac:dyDescent="0.25">
      <c r="A102" s="1">
        <v>45780</v>
      </c>
      <c r="B102" t="s">
        <v>13</v>
      </c>
      <c r="C102" t="s">
        <v>8</v>
      </c>
      <c r="D102" t="s">
        <v>9</v>
      </c>
      <c r="E102" s="2">
        <v>36000</v>
      </c>
      <c r="F102" t="s">
        <v>62</v>
      </c>
    </row>
    <row r="103" spans="1:6" x14ac:dyDescent="0.25">
      <c r="A103" s="1">
        <v>45780</v>
      </c>
      <c r="B103" t="s">
        <v>13</v>
      </c>
      <c r="C103" t="s">
        <v>14</v>
      </c>
      <c r="D103" t="s">
        <v>15</v>
      </c>
      <c r="E103" s="2">
        <v>25000</v>
      </c>
      <c r="F103" t="s">
        <v>62</v>
      </c>
    </row>
    <row r="104" spans="1:6" x14ac:dyDescent="0.25">
      <c r="A104" s="1">
        <v>45781</v>
      </c>
      <c r="B104" t="s">
        <v>7</v>
      </c>
      <c r="C104" t="s">
        <v>29</v>
      </c>
      <c r="D104" t="s">
        <v>35</v>
      </c>
      <c r="E104" s="2">
        <v>14500</v>
      </c>
      <c r="F104" t="s">
        <v>62</v>
      </c>
    </row>
    <row r="105" spans="1:6" x14ac:dyDescent="0.25">
      <c r="A105" s="1">
        <v>45781</v>
      </c>
      <c r="B105" t="s">
        <v>7</v>
      </c>
      <c r="C105" t="s">
        <v>29</v>
      </c>
      <c r="D105" t="s">
        <v>35</v>
      </c>
      <c r="E105" s="2">
        <v>78200</v>
      </c>
      <c r="F105" t="s">
        <v>62</v>
      </c>
    </row>
    <row r="106" spans="1:6" x14ac:dyDescent="0.25">
      <c r="A106" s="1">
        <v>45781</v>
      </c>
      <c r="B106" t="s">
        <v>13</v>
      </c>
      <c r="C106" t="s">
        <v>8</v>
      </c>
      <c r="D106" t="s">
        <v>9</v>
      </c>
      <c r="E106" s="2">
        <v>48000</v>
      </c>
      <c r="F106" t="s">
        <v>62</v>
      </c>
    </row>
    <row r="107" spans="1:6" x14ac:dyDescent="0.25">
      <c r="A107" s="1">
        <v>45782</v>
      </c>
      <c r="B107" t="s">
        <v>13</v>
      </c>
      <c r="C107" t="s">
        <v>8</v>
      </c>
      <c r="D107" t="s">
        <v>9</v>
      </c>
      <c r="E107" s="2">
        <v>50000</v>
      </c>
      <c r="F107" t="s">
        <v>62</v>
      </c>
    </row>
    <row r="108" spans="1:6" x14ac:dyDescent="0.25">
      <c r="A108" s="1">
        <v>45783</v>
      </c>
      <c r="B108" t="s">
        <v>13</v>
      </c>
      <c r="C108" t="s">
        <v>8</v>
      </c>
      <c r="D108" t="s">
        <v>9</v>
      </c>
      <c r="E108" s="2">
        <v>47500</v>
      </c>
      <c r="F108" t="s">
        <v>62</v>
      </c>
    </row>
    <row r="109" spans="1:6" x14ac:dyDescent="0.25">
      <c r="A109" s="1">
        <v>45784</v>
      </c>
      <c r="B109" t="s">
        <v>13</v>
      </c>
      <c r="C109" t="s">
        <v>14</v>
      </c>
      <c r="D109" t="s">
        <v>15</v>
      </c>
      <c r="E109" s="2">
        <v>25000</v>
      </c>
      <c r="F109" t="s">
        <v>62</v>
      </c>
    </row>
    <row r="110" spans="1:6" x14ac:dyDescent="0.25">
      <c r="A110" s="1">
        <v>45784</v>
      </c>
      <c r="B110" t="s">
        <v>13</v>
      </c>
      <c r="C110" t="s">
        <v>8</v>
      </c>
      <c r="D110" t="s">
        <v>9</v>
      </c>
      <c r="E110" s="2">
        <v>35000</v>
      </c>
      <c r="F110" t="s">
        <v>62</v>
      </c>
    </row>
    <row r="111" spans="1:6" x14ac:dyDescent="0.25">
      <c r="A111" s="1">
        <v>45785</v>
      </c>
      <c r="B111" t="s">
        <v>7</v>
      </c>
      <c r="C111" t="s">
        <v>29</v>
      </c>
      <c r="D111" t="s">
        <v>35</v>
      </c>
      <c r="E111" s="2">
        <v>102000</v>
      </c>
      <c r="F111" t="s">
        <v>62</v>
      </c>
    </row>
    <row r="112" spans="1:6" x14ac:dyDescent="0.25">
      <c r="A112" s="1">
        <v>45785</v>
      </c>
      <c r="B112" t="s">
        <v>13</v>
      </c>
      <c r="C112" t="s">
        <v>8</v>
      </c>
      <c r="D112" t="s">
        <v>9</v>
      </c>
      <c r="E112" s="2">
        <v>25000</v>
      </c>
      <c r="F112" t="s">
        <v>62</v>
      </c>
    </row>
    <row r="113" spans="1:6" x14ac:dyDescent="0.25">
      <c r="A113" s="1">
        <v>45786</v>
      </c>
      <c r="B113" t="s">
        <v>13</v>
      </c>
      <c r="C113" t="s">
        <v>8</v>
      </c>
      <c r="D113" t="s">
        <v>9</v>
      </c>
      <c r="E113" s="2">
        <v>15000</v>
      </c>
      <c r="F113" t="s">
        <v>62</v>
      </c>
    </row>
    <row r="114" spans="1:6" x14ac:dyDescent="0.25">
      <c r="A114" s="1">
        <v>45787</v>
      </c>
      <c r="B114" t="s">
        <v>13</v>
      </c>
      <c r="C114" t="s">
        <v>8</v>
      </c>
      <c r="D114" t="s">
        <v>9</v>
      </c>
      <c r="E114" s="2">
        <v>27000</v>
      </c>
      <c r="F114" t="s">
        <v>62</v>
      </c>
    </row>
    <row r="115" spans="1:6" x14ac:dyDescent="0.25">
      <c r="A115" s="1">
        <v>45787</v>
      </c>
      <c r="B115" t="s">
        <v>13</v>
      </c>
      <c r="C115" t="s">
        <v>29</v>
      </c>
      <c r="D115" t="s">
        <v>37</v>
      </c>
      <c r="E115" s="2">
        <v>58000</v>
      </c>
      <c r="F115" t="s">
        <v>62</v>
      </c>
    </row>
    <row r="116" spans="1:6" x14ac:dyDescent="0.25">
      <c r="A116" s="1">
        <v>45788</v>
      </c>
      <c r="B116" t="s">
        <v>13</v>
      </c>
      <c r="C116" t="s">
        <v>8</v>
      </c>
      <c r="D116" t="s">
        <v>9</v>
      </c>
      <c r="E116" s="2">
        <v>23000</v>
      </c>
      <c r="F116" t="s">
        <v>62</v>
      </c>
    </row>
    <row r="117" spans="1:6" x14ac:dyDescent="0.25">
      <c r="A117" s="1">
        <v>45788</v>
      </c>
      <c r="B117" t="s">
        <v>13</v>
      </c>
      <c r="C117" t="s">
        <v>8</v>
      </c>
      <c r="D117" t="s">
        <v>32</v>
      </c>
      <c r="E117" s="2">
        <v>21000</v>
      </c>
      <c r="F117" t="s">
        <v>62</v>
      </c>
    </row>
    <row r="118" spans="1:6" x14ac:dyDescent="0.25">
      <c r="A118" s="1">
        <v>45789</v>
      </c>
      <c r="B118" t="s">
        <v>13</v>
      </c>
      <c r="C118" t="s">
        <v>8</v>
      </c>
      <c r="D118" t="s">
        <v>9</v>
      </c>
      <c r="E118" s="2">
        <v>25000</v>
      </c>
      <c r="F118" t="s">
        <v>62</v>
      </c>
    </row>
    <row r="119" spans="1:6" x14ac:dyDescent="0.25">
      <c r="A119" s="1">
        <v>45789</v>
      </c>
      <c r="B119" t="s">
        <v>13</v>
      </c>
      <c r="C119" t="s">
        <v>38</v>
      </c>
      <c r="D119" t="s">
        <v>39</v>
      </c>
      <c r="E119" s="2">
        <v>6000</v>
      </c>
      <c r="F119" t="s">
        <v>63</v>
      </c>
    </row>
    <row r="120" spans="1:6" x14ac:dyDescent="0.25">
      <c r="A120" s="1">
        <v>45790</v>
      </c>
      <c r="B120" t="s">
        <v>13</v>
      </c>
      <c r="C120" t="s">
        <v>14</v>
      </c>
      <c r="D120" t="s">
        <v>15</v>
      </c>
      <c r="E120" s="2">
        <v>25000</v>
      </c>
      <c r="F120" t="s">
        <v>62</v>
      </c>
    </row>
    <row r="121" spans="1:6" x14ac:dyDescent="0.25">
      <c r="A121" s="1">
        <v>45790</v>
      </c>
      <c r="B121" t="s">
        <v>13</v>
      </c>
      <c r="C121" t="s">
        <v>8</v>
      </c>
      <c r="D121" t="s">
        <v>9</v>
      </c>
      <c r="E121" s="2">
        <v>19500</v>
      </c>
      <c r="F121" t="s">
        <v>62</v>
      </c>
    </row>
    <row r="122" spans="1:6" x14ac:dyDescent="0.25">
      <c r="A122" s="1">
        <v>45791</v>
      </c>
      <c r="B122" t="s">
        <v>13</v>
      </c>
      <c r="C122" t="s">
        <v>8</v>
      </c>
      <c r="D122" t="s">
        <v>9</v>
      </c>
      <c r="E122" s="2">
        <v>20000</v>
      </c>
      <c r="F122" t="s">
        <v>62</v>
      </c>
    </row>
    <row r="123" spans="1:6" x14ac:dyDescent="0.25">
      <c r="A123" s="1">
        <v>45792</v>
      </c>
      <c r="B123" t="s">
        <v>7</v>
      </c>
      <c r="C123" t="s">
        <v>29</v>
      </c>
      <c r="D123" t="s">
        <v>35</v>
      </c>
      <c r="E123" s="2">
        <v>3000</v>
      </c>
      <c r="F123" t="s">
        <v>62</v>
      </c>
    </row>
    <row r="124" spans="1:6" x14ac:dyDescent="0.25">
      <c r="A124" s="1">
        <v>45792</v>
      </c>
      <c r="B124" t="s">
        <v>7</v>
      </c>
      <c r="C124" t="s">
        <v>8</v>
      </c>
      <c r="D124" t="s">
        <v>12</v>
      </c>
      <c r="E124" s="2">
        <v>5000</v>
      </c>
      <c r="F124" t="s">
        <v>62</v>
      </c>
    </row>
    <row r="125" spans="1:6" x14ac:dyDescent="0.25">
      <c r="A125" s="1">
        <v>45792</v>
      </c>
      <c r="B125" t="s">
        <v>13</v>
      </c>
      <c r="C125" t="s">
        <v>8</v>
      </c>
      <c r="D125" t="s">
        <v>9</v>
      </c>
      <c r="E125" s="2">
        <v>10000</v>
      </c>
      <c r="F125" t="s">
        <v>62</v>
      </c>
    </row>
    <row r="126" spans="1:6" x14ac:dyDescent="0.25">
      <c r="A126" s="1">
        <v>45792</v>
      </c>
      <c r="B126" t="s">
        <v>13</v>
      </c>
      <c r="C126" t="s">
        <v>8</v>
      </c>
      <c r="D126" t="s">
        <v>9</v>
      </c>
      <c r="E126" s="2">
        <v>20000</v>
      </c>
      <c r="F126" t="s">
        <v>62</v>
      </c>
    </row>
    <row r="127" spans="1:6" x14ac:dyDescent="0.25">
      <c r="A127" s="1">
        <v>45793</v>
      </c>
      <c r="B127" t="s">
        <v>13</v>
      </c>
      <c r="C127" t="s">
        <v>31</v>
      </c>
      <c r="D127" t="s">
        <v>32</v>
      </c>
      <c r="E127" s="2">
        <v>103000</v>
      </c>
      <c r="F127" t="s">
        <v>63</v>
      </c>
    </row>
    <row r="128" spans="1:6" x14ac:dyDescent="0.25">
      <c r="A128" s="1">
        <v>45793</v>
      </c>
      <c r="B128" t="s">
        <v>13</v>
      </c>
      <c r="C128" t="s">
        <v>8</v>
      </c>
      <c r="D128" t="s">
        <v>9</v>
      </c>
      <c r="E128" s="2">
        <v>19000</v>
      </c>
      <c r="F128" t="s">
        <v>62</v>
      </c>
    </row>
    <row r="129" spans="1:6" x14ac:dyDescent="0.25">
      <c r="A129" s="1">
        <v>45794</v>
      </c>
      <c r="B129" t="s">
        <v>13</v>
      </c>
      <c r="C129" t="s">
        <v>8</v>
      </c>
      <c r="D129" t="s">
        <v>9</v>
      </c>
      <c r="E129" s="2">
        <v>20000</v>
      </c>
      <c r="F129" t="s">
        <v>62</v>
      </c>
    </row>
    <row r="130" spans="1:6" x14ac:dyDescent="0.25">
      <c r="A130" s="1">
        <v>45795</v>
      </c>
      <c r="B130" t="s">
        <v>13</v>
      </c>
      <c r="C130" t="s">
        <v>8</v>
      </c>
      <c r="D130" t="s">
        <v>9</v>
      </c>
      <c r="E130" s="2">
        <v>23000</v>
      </c>
      <c r="F130" t="s">
        <v>62</v>
      </c>
    </row>
    <row r="131" spans="1:6" x14ac:dyDescent="0.25">
      <c r="A131" s="1">
        <v>45796</v>
      </c>
      <c r="B131" t="s">
        <v>7</v>
      </c>
      <c r="C131" t="s">
        <v>8</v>
      </c>
      <c r="D131" t="s">
        <v>12</v>
      </c>
      <c r="E131" s="2">
        <v>13000</v>
      </c>
      <c r="F131" t="s">
        <v>62</v>
      </c>
    </row>
    <row r="132" spans="1:6" x14ac:dyDescent="0.25">
      <c r="A132" s="1">
        <v>45796</v>
      </c>
      <c r="B132" t="s">
        <v>13</v>
      </c>
      <c r="C132" t="s">
        <v>8</v>
      </c>
      <c r="D132" t="s">
        <v>9</v>
      </c>
      <c r="E132" s="2">
        <v>27000</v>
      </c>
      <c r="F132" t="s">
        <v>62</v>
      </c>
    </row>
    <row r="133" spans="1:6" x14ac:dyDescent="0.25">
      <c r="A133" s="1">
        <v>45797</v>
      </c>
      <c r="B133" t="s">
        <v>7</v>
      </c>
      <c r="C133" t="s">
        <v>8</v>
      </c>
      <c r="D133" t="s">
        <v>12</v>
      </c>
      <c r="E133" s="2">
        <v>13000</v>
      </c>
      <c r="F133" t="s">
        <v>62</v>
      </c>
    </row>
    <row r="134" spans="1:6" x14ac:dyDescent="0.25">
      <c r="A134" s="1">
        <v>45797</v>
      </c>
      <c r="B134" t="s">
        <v>13</v>
      </c>
      <c r="C134" t="s">
        <v>8</v>
      </c>
      <c r="D134" t="s">
        <v>9</v>
      </c>
      <c r="E134" s="2">
        <v>27000</v>
      </c>
      <c r="F134" t="s">
        <v>62</v>
      </c>
    </row>
    <row r="135" spans="1:6" x14ac:dyDescent="0.25">
      <c r="A135" s="1">
        <v>45798</v>
      </c>
      <c r="B135" t="s">
        <v>13</v>
      </c>
      <c r="C135" t="s">
        <v>8</v>
      </c>
      <c r="D135" t="s">
        <v>9</v>
      </c>
      <c r="E135" s="2">
        <v>27000</v>
      </c>
      <c r="F135" t="s">
        <v>62</v>
      </c>
    </row>
    <row r="136" spans="1:6" x14ac:dyDescent="0.25">
      <c r="A136" s="1">
        <v>45798</v>
      </c>
      <c r="B136" t="s">
        <v>13</v>
      </c>
      <c r="C136" t="s">
        <v>14</v>
      </c>
      <c r="D136" t="s">
        <v>15</v>
      </c>
      <c r="E136" s="2">
        <v>25000</v>
      </c>
      <c r="F136" t="s">
        <v>62</v>
      </c>
    </row>
    <row r="137" spans="1:6" x14ac:dyDescent="0.25">
      <c r="A137" s="1">
        <v>45799</v>
      </c>
      <c r="B137" t="s">
        <v>13</v>
      </c>
      <c r="C137" t="s">
        <v>8</v>
      </c>
      <c r="D137" t="s">
        <v>9</v>
      </c>
      <c r="E137" s="2">
        <v>24000</v>
      </c>
      <c r="F137" t="s">
        <v>62</v>
      </c>
    </row>
    <row r="138" spans="1:6" x14ac:dyDescent="0.25">
      <c r="A138" s="1">
        <v>45799</v>
      </c>
      <c r="B138" t="s">
        <v>13</v>
      </c>
      <c r="C138" t="s">
        <v>8</v>
      </c>
      <c r="D138" t="s">
        <v>12</v>
      </c>
      <c r="E138" s="2">
        <v>10000</v>
      </c>
      <c r="F138" t="s">
        <v>62</v>
      </c>
    </row>
    <row r="139" spans="1:6" x14ac:dyDescent="0.25">
      <c r="A139" s="1">
        <v>45800</v>
      </c>
      <c r="B139" t="s">
        <v>13</v>
      </c>
      <c r="C139" t="s">
        <v>8</v>
      </c>
      <c r="D139" t="s">
        <v>12</v>
      </c>
      <c r="E139" s="2">
        <v>30000</v>
      </c>
      <c r="F139" t="s">
        <v>63</v>
      </c>
    </row>
    <row r="140" spans="1:6" x14ac:dyDescent="0.25">
      <c r="A140" s="1">
        <v>45801</v>
      </c>
      <c r="B140" t="s">
        <v>13</v>
      </c>
      <c r="C140" t="s">
        <v>8</v>
      </c>
      <c r="D140" t="s">
        <v>9</v>
      </c>
      <c r="E140" s="2">
        <v>15000</v>
      </c>
      <c r="F140" t="s">
        <v>62</v>
      </c>
    </row>
    <row r="141" spans="1:6" x14ac:dyDescent="0.25">
      <c r="A141" s="1">
        <v>45801</v>
      </c>
      <c r="B141" t="s">
        <v>13</v>
      </c>
      <c r="C141" t="s">
        <v>8</v>
      </c>
      <c r="D141" t="s">
        <v>9</v>
      </c>
      <c r="E141" s="2">
        <v>25000</v>
      </c>
      <c r="F141" t="s">
        <v>62</v>
      </c>
    </row>
    <row r="142" spans="1:6" x14ac:dyDescent="0.25">
      <c r="A142" s="1">
        <v>45802</v>
      </c>
      <c r="B142" t="s">
        <v>13</v>
      </c>
      <c r="C142" t="s">
        <v>14</v>
      </c>
      <c r="D142" t="s">
        <v>15</v>
      </c>
      <c r="E142" s="2">
        <v>25000</v>
      </c>
      <c r="F142" t="s">
        <v>62</v>
      </c>
    </row>
    <row r="143" spans="1:6" x14ac:dyDescent="0.25">
      <c r="A143" s="1">
        <v>45803</v>
      </c>
      <c r="B143" t="s">
        <v>13</v>
      </c>
      <c r="C143" t="s">
        <v>8</v>
      </c>
      <c r="D143" t="s">
        <v>39</v>
      </c>
      <c r="E143" s="2">
        <v>34800</v>
      </c>
      <c r="F143" t="s">
        <v>62</v>
      </c>
    </row>
    <row r="144" spans="1:6" x14ac:dyDescent="0.25">
      <c r="A144" s="1">
        <v>45803</v>
      </c>
      <c r="B144" t="s">
        <v>13</v>
      </c>
      <c r="C144" t="s">
        <v>8</v>
      </c>
      <c r="D144" t="s">
        <v>9</v>
      </c>
      <c r="E144" s="2">
        <v>32000</v>
      </c>
      <c r="F144" t="s">
        <v>62</v>
      </c>
    </row>
    <row r="145" spans="1:6" x14ac:dyDescent="0.25">
      <c r="A145" s="1">
        <v>45803</v>
      </c>
      <c r="B145" t="s">
        <v>13</v>
      </c>
      <c r="C145" t="s">
        <v>8</v>
      </c>
      <c r="D145" t="s">
        <v>9</v>
      </c>
      <c r="E145" s="2">
        <v>23000</v>
      </c>
      <c r="F145" t="s">
        <v>62</v>
      </c>
    </row>
    <row r="146" spans="1:6" x14ac:dyDescent="0.25">
      <c r="A146" s="1">
        <v>45804</v>
      </c>
      <c r="B146" t="s">
        <v>7</v>
      </c>
      <c r="C146" t="s">
        <v>25</v>
      </c>
      <c r="D146" t="s">
        <v>26</v>
      </c>
      <c r="E146" s="2">
        <v>30000</v>
      </c>
      <c r="F146" t="s">
        <v>62</v>
      </c>
    </row>
    <row r="147" spans="1:6" x14ac:dyDescent="0.25">
      <c r="A147" s="1">
        <v>45805</v>
      </c>
      <c r="B147" t="s">
        <v>13</v>
      </c>
      <c r="C147" t="s">
        <v>8</v>
      </c>
      <c r="D147" t="s">
        <v>9</v>
      </c>
      <c r="E147" s="2">
        <v>14000</v>
      </c>
      <c r="F147" t="s">
        <v>62</v>
      </c>
    </row>
    <row r="148" spans="1:6" x14ac:dyDescent="0.25">
      <c r="A148" s="1">
        <v>45806</v>
      </c>
      <c r="B148" t="s">
        <v>7</v>
      </c>
      <c r="C148" t="s">
        <v>29</v>
      </c>
      <c r="D148" t="s">
        <v>35</v>
      </c>
      <c r="E148" s="2">
        <v>20000</v>
      </c>
      <c r="F148" t="s">
        <v>62</v>
      </c>
    </row>
    <row r="149" spans="1:6" x14ac:dyDescent="0.25">
      <c r="A149" s="1">
        <v>45807</v>
      </c>
      <c r="B149" t="s">
        <v>13</v>
      </c>
      <c r="C149" t="s">
        <v>8</v>
      </c>
      <c r="D149" t="s">
        <v>9</v>
      </c>
      <c r="E149" s="2">
        <v>29500</v>
      </c>
      <c r="F149" t="s">
        <v>62</v>
      </c>
    </row>
    <row r="150" spans="1:6" x14ac:dyDescent="0.25">
      <c r="A150" s="1">
        <v>45808</v>
      </c>
      <c r="B150" t="s">
        <v>13</v>
      </c>
      <c r="C150" t="s">
        <v>8</v>
      </c>
      <c r="D150" t="s">
        <v>9</v>
      </c>
      <c r="E150" s="2">
        <v>27000</v>
      </c>
      <c r="F150" t="s">
        <v>62</v>
      </c>
    </row>
    <row r="151" spans="1:6" x14ac:dyDescent="0.25">
      <c r="A151" s="1">
        <v>45810</v>
      </c>
      <c r="B151" t="s">
        <v>13</v>
      </c>
      <c r="C151" t="s">
        <v>14</v>
      </c>
      <c r="D151" t="s">
        <v>15</v>
      </c>
      <c r="E151" s="2">
        <v>25000</v>
      </c>
      <c r="F151" t="s">
        <v>62</v>
      </c>
    </row>
    <row r="152" spans="1:6" x14ac:dyDescent="0.25">
      <c r="A152" s="1">
        <v>45810</v>
      </c>
      <c r="B152" t="s">
        <v>13</v>
      </c>
      <c r="C152" t="s">
        <v>8</v>
      </c>
      <c r="D152" t="s">
        <v>9</v>
      </c>
      <c r="E152" s="2">
        <v>30000</v>
      </c>
      <c r="F152" t="s">
        <v>62</v>
      </c>
    </row>
    <row r="153" spans="1:6" x14ac:dyDescent="0.25">
      <c r="A153" s="1">
        <v>45811</v>
      </c>
      <c r="B153" t="s">
        <v>13</v>
      </c>
      <c r="C153" t="s">
        <v>8</v>
      </c>
      <c r="D153" t="s">
        <v>9</v>
      </c>
      <c r="E153" s="2">
        <v>27000</v>
      </c>
      <c r="F153" t="s">
        <v>62</v>
      </c>
    </row>
    <row r="154" spans="1:6" x14ac:dyDescent="0.25">
      <c r="A154" s="1">
        <v>45812</v>
      </c>
      <c r="B154" t="s">
        <v>13</v>
      </c>
      <c r="C154" t="s">
        <v>8</v>
      </c>
      <c r="D154" t="s">
        <v>9</v>
      </c>
      <c r="E154" s="2">
        <v>36000</v>
      </c>
      <c r="F154" t="s">
        <v>63</v>
      </c>
    </row>
    <row r="155" spans="1:6" x14ac:dyDescent="0.25">
      <c r="A155" s="1">
        <v>45813</v>
      </c>
      <c r="B155" t="s">
        <v>13</v>
      </c>
      <c r="C155" t="s">
        <v>8</v>
      </c>
      <c r="D155" t="s">
        <v>9</v>
      </c>
      <c r="E155" s="2">
        <v>35000</v>
      </c>
      <c r="F155" t="s">
        <v>62</v>
      </c>
    </row>
    <row r="156" spans="1:6" x14ac:dyDescent="0.25">
      <c r="A156" s="1">
        <v>45814</v>
      </c>
      <c r="B156" t="s">
        <v>7</v>
      </c>
      <c r="C156" t="s">
        <v>29</v>
      </c>
      <c r="D156" t="s">
        <v>40</v>
      </c>
      <c r="E156" s="2">
        <v>38500</v>
      </c>
      <c r="F156" t="s">
        <v>62</v>
      </c>
    </row>
    <row r="157" spans="1:6" x14ac:dyDescent="0.25">
      <c r="A157" s="1">
        <v>45814</v>
      </c>
      <c r="B157" t="s">
        <v>13</v>
      </c>
      <c r="C157" t="s">
        <v>8</v>
      </c>
      <c r="D157" t="s">
        <v>9</v>
      </c>
      <c r="E157" s="2">
        <v>35000</v>
      </c>
      <c r="F157" t="s">
        <v>63</v>
      </c>
    </row>
    <row r="158" spans="1:6" x14ac:dyDescent="0.25">
      <c r="A158" s="1">
        <v>45815</v>
      </c>
      <c r="B158" t="s">
        <v>13</v>
      </c>
      <c r="C158" t="s">
        <v>8</v>
      </c>
      <c r="D158" t="s">
        <v>9</v>
      </c>
      <c r="E158" s="2">
        <v>35000</v>
      </c>
      <c r="F158" t="s">
        <v>62</v>
      </c>
    </row>
    <row r="159" spans="1:6" x14ac:dyDescent="0.25">
      <c r="A159" s="1">
        <v>45816</v>
      </c>
      <c r="B159" t="s">
        <v>13</v>
      </c>
      <c r="C159" t="s">
        <v>38</v>
      </c>
      <c r="D159" t="s">
        <v>9</v>
      </c>
      <c r="E159" s="2">
        <v>13000</v>
      </c>
      <c r="F159" t="s">
        <v>62</v>
      </c>
    </row>
    <row r="160" spans="1:6" x14ac:dyDescent="0.25">
      <c r="A160" s="1">
        <v>45816</v>
      </c>
      <c r="B160" t="s">
        <v>13</v>
      </c>
      <c r="C160" t="s">
        <v>8</v>
      </c>
      <c r="D160" t="s">
        <v>9</v>
      </c>
      <c r="E160" s="2">
        <v>22500</v>
      </c>
      <c r="F160" t="s">
        <v>62</v>
      </c>
    </row>
    <row r="161" spans="1:6" x14ac:dyDescent="0.25">
      <c r="A161" s="1">
        <v>45817</v>
      </c>
      <c r="B161" t="s">
        <v>7</v>
      </c>
      <c r="C161" t="s">
        <v>29</v>
      </c>
      <c r="D161" t="s">
        <v>12</v>
      </c>
      <c r="E161" s="2">
        <v>55000</v>
      </c>
      <c r="F161" t="s">
        <v>62</v>
      </c>
    </row>
    <row r="162" spans="1:6" x14ac:dyDescent="0.25">
      <c r="A162" s="1">
        <v>45817</v>
      </c>
      <c r="B162" t="s">
        <v>13</v>
      </c>
      <c r="C162" t="s">
        <v>14</v>
      </c>
      <c r="D162" t="s">
        <v>15</v>
      </c>
      <c r="E162" s="2">
        <v>25000</v>
      </c>
      <c r="F162" t="s">
        <v>62</v>
      </c>
    </row>
    <row r="163" spans="1:6" x14ac:dyDescent="0.25">
      <c r="A163" s="1">
        <v>45817</v>
      </c>
      <c r="B163" t="s">
        <v>13</v>
      </c>
      <c r="C163" t="s">
        <v>8</v>
      </c>
      <c r="D163" t="s">
        <v>12</v>
      </c>
      <c r="E163" s="2">
        <v>34188</v>
      </c>
      <c r="F163" t="s">
        <v>62</v>
      </c>
    </row>
    <row r="164" spans="1:6" x14ac:dyDescent="0.25">
      <c r="A164" s="1">
        <v>45818</v>
      </c>
      <c r="B164" t="s">
        <v>13</v>
      </c>
      <c r="C164" t="s">
        <v>8</v>
      </c>
      <c r="D164" t="s">
        <v>9</v>
      </c>
      <c r="E164" s="2">
        <v>15000</v>
      </c>
      <c r="F164" t="s">
        <v>62</v>
      </c>
    </row>
    <row r="165" spans="1:6" x14ac:dyDescent="0.25">
      <c r="A165" s="1">
        <v>45819</v>
      </c>
      <c r="B165" t="s">
        <v>13</v>
      </c>
      <c r="C165" t="s">
        <v>8</v>
      </c>
      <c r="D165" t="s">
        <v>9</v>
      </c>
      <c r="E165" s="2">
        <v>30000</v>
      </c>
      <c r="F165" t="s">
        <v>62</v>
      </c>
    </row>
    <row r="166" spans="1:6" x14ac:dyDescent="0.25">
      <c r="A166" s="1">
        <v>45820</v>
      </c>
      <c r="B166" t="s">
        <v>13</v>
      </c>
      <c r="C166" t="s">
        <v>8</v>
      </c>
      <c r="D166" t="s">
        <v>9</v>
      </c>
      <c r="E166" s="2">
        <v>25000</v>
      </c>
      <c r="F166" t="s">
        <v>62</v>
      </c>
    </row>
    <row r="167" spans="1:6" x14ac:dyDescent="0.25">
      <c r="A167" s="1">
        <v>45821</v>
      </c>
      <c r="B167" t="s">
        <v>13</v>
      </c>
      <c r="C167" t="s">
        <v>8</v>
      </c>
      <c r="D167" t="s">
        <v>9</v>
      </c>
      <c r="E167" s="2">
        <v>35000</v>
      </c>
      <c r="F167" t="s">
        <v>62</v>
      </c>
    </row>
    <row r="168" spans="1:6" x14ac:dyDescent="0.25">
      <c r="A168" s="1">
        <v>45822</v>
      </c>
      <c r="B168" t="s">
        <v>13</v>
      </c>
      <c r="C168" t="s">
        <v>8</v>
      </c>
      <c r="D168" t="s">
        <v>9</v>
      </c>
      <c r="E168" s="2">
        <v>35000</v>
      </c>
      <c r="F168" t="s">
        <v>62</v>
      </c>
    </row>
    <row r="169" spans="1:6" x14ac:dyDescent="0.25">
      <c r="A169" s="1">
        <v>45823</v>
      </c>
      <c r="B169" t="s">
        <v>13</v>
      </c>
      <c r="C169" t="s">
        <v>38</v>
      </c>
      <c r="D169" t="s">
        <v>32</v>
      </c>
      <c r="E169" s="2">
        <v>50000</v>
      </c>
      <c r="F169" t="s">
        <v>62</v>
      </c>
    </row>
    <row r="170" spans="1:6" x14ac:dyDescent="0.25">
      <c r="A170" s="1">
        <v>45823</v>
      </c>
      <c r="B170" t="s">
        <v>13</v>
      </c>
      <c r="C170" t="s">
        <v>8</v>
      </c>
      <c r="D170" t="s">
        <v>9</v>
      </c>
      <c r="E170" s="2">
        <v>40000</v>
      </c>
      <c r="F170" t="s">
        <v>62</v>
      </c>
    </row>
    <row r="171" spans="1:6" x14ac:dyDescent="0.25">
      <c r="A171" s="1">
        <v>45824</v>
      </c>
      <c r="B171" t="s">
        <v>13</v>
      </c>
      <c r="C171" t="s">
        <v>8</v>
      </c>
      <c r="D171" t="s">
        <v>9</v>
      </c>
      <c r="E171" s="2">
        <v>28000</v>
      </c>
      <c r="F171" t="s">
        <v>62</v>
      </c>
    </row>
    <row r="172" spans="1:6" x14ac:dyDescent="0.25">
      <c r="A172" s="1">
        <v>45825</v>
      </c>
      <c r="B172" t="s">
        <v>13</v>
      </c>
      <c r="C172" t="s">
        <v>8</v>
      </c>
      <c r="D172" t="s">
        <v>9</v>
      </c>
      <c r="E172" s="2">
        <v>35000</v>
      </c>
      <c r="F172" t="s">
        <v>62</v>
      </c>
    </row>
    <row r="173" spans="1:6" x14ac:dyDescent="0.25">
      <c r="A173" s="1">
        <v>45826</v>
      </c>
      <c r="B173" t="s">
        <v>13</v>
      </c>
      <c r="C173" t="s">
        <v>18</v>
      </c>
      <c r="D173" t="s">
        <v>19</v>
      </c>
      <c r="E173" s="2">
        <v>70000</v>
      </c>
      <c r="F173" t="s">
        <v>63</v>
      </c>
    </row>
    <row r="174" spans="1:6" x14ac:dyDescent="0.25">
      <c r="A174" s="1">
        <v>45827</v>
      </c>
      <c r="B174" t="s">
        <v>13</v>
      </c>
      <c r="C174" t="s">
        <v>8</v>
      </c>
      <c r="D174" t="s">
        <v>9</v>
      </c>
      <c r="E174" s="2">
        <v>40000</v>
      </c>
      <c r="F174" t="s">
        <v>62</v>
      </c>
    </row>
    <row r="175" spans="1:6" x14ac:dyDescent="0.25">
      <c r="A175" s="1">
        <v>45828</v>
      </c>
      <c r="B175" t="s">
        <v>13</v>
      </c>
      <c r="C175" t="s">
        <v>8</v>
      </c>
      <c r="D175" t="s">
        <v>9</v>
      </c>
      <c r="E175" s="2">
        <v>40000</v>
      </c>
      <c r="F175" t="s">
        <v>62</v>
      </c>
    </row>
    <row r="176" spans="1:6" x14ac:dyDescent="0.25">
      <c r="A176" s="1">
        <v>45829</v>
      </c>
      <c r="B176" t="s">
        <v>13</v>
      </c>
      <c r="C176" t="s">
        <v>20</v>
      </c>
      <c r="D176" t="s">
        <v>21</v>
      </c>
      <c r="E176" s="2">
        <v>45000</v>
      </c>
      <c r="F176" t="s">
        <v>62</v>
      </c>
    </row>
    <row r="177" spans="1:6" x14ac:dyDescent="0.25">
      <c r="A177" s="1">
        <v>45830</v>
      </c>
      <c r="B177" t="s">
        <v>13</v>
      </c>
      <c r="C177" t="s">
        <v>8</v>
      </c>
      <c r="D177" t="s">
        <v>9</v>
      </c>
      <c r="E177" s="2">
        <v>26000</v>
      </c>
      <c r="F177" t="s">
        <v>62</v>
      </c>
    </row>
    <row r="178" spans="1:6" x14ac:dyDescent="0.25">
      <c r="A178" s="1">
        <v>45830</v>
      </c>
      <c r="B178" t="s">
        <v>7</v>
      </c>
      <c r="C178" t="s">
        <v>29</v>
      </c>
      <c r="D178" t="s">
        <v>35</v>
      </c>
      <c r="E178" s="2">
        <v>20000</v>
      </c>
      <c r="F178" t="s">
        <v>62</v>
      </c>
    </row>
    <row r="179" spans="1:6" x14ac:dyDescent="0.25">
      <c r="A179" s="1">
        <v>45831</v>
      </c>
      <c r="B179" t="s">
        <v>13</v>
      </c>
      <c r="C179" t="s">
        <v>8</v>
      </c>
      <c r="D179" t="s">
        <v>9</v>
      </c>
      <c r="E179" s="2">
        <v>35000</v>
      </c>
      <c r="F179" t="s">
        <v>62</v>
      </c>
    </row>
    <row r="180" spans="1:6" x14ac:dyDescent="0.25">
      <c r="A180" s="1">
        <v>45832</v>
      </c>
      <c r="B180" t="s">
        <v>13</v>
      </c>
      <c r="C180" t="s">
        <v>8</v>
      </c>
      <c r="D180" t="s">
        <v>9</v>
      </c>
      <c r="E180" s="2">
        <v>30000</v>
      </c>
      <c r="F180" t="s">
        <v>62</v>
      </c>
    </row>
    <row r="181" spans="1:6" x14ac:dyDescent="0.25">
      <c r="A181" s="1">
        <v>45833</v>
      </c>
      <c r="B181" t="s">
        <v>13</v>
      </c>
      <c r="C181" t="s">
        <v>8</v>
      </c>
      <c r="D181" t="s">
        <v>9</v>
      </c>
      <c r="E181" s="2">
        <v>30000</v>
      </c>
      <c r="F181" t="s">
        <v>62</v>
      </c>
    </row>
    <row r="182" spans="1:6" x14ac:dyDescent="0.25">
      <c r="A182" s="1">
        <v>45834</v>
      </c>
      <c r="B182" t="s">
        <v>13</v>
      </c>
      <c r="C182" t="s">
        <v>8</v>
      </c>
      <c r="D182" t="s">
        <v>9</v>
      </c>
      <c r="E182" s="2">
        <v>35000</v>
      </c>
      <c r="F182" t="s">
        <v>62</v>
      </c>
    </row>
    <row r="183" spans="1:6" x14ac:dyDescent="0.25">
      <c r="A183" s="1">
        <v>45835</v>
      </c>
      <c r="B183" t="s">
        <v>13</v>
      </c>
      <c r="C183" t="s">
        <v>8</v>
      </c>
      <c r="D183" t="s">
        <v>9</v>
      </c>
      <c r="E183" s="2">
        <v>40000</v>
      </c>
      <c r="F183" t="s">
        <v>62</v>
      </c>
    </row>
    <row r="184" spans="1:6" x14ac:dyDescent="0.25">
      <c r="A184" s="1">
        <v>45836</v>
      </c>
      <c r="B184" t="s">
        <v>13</v>
      </c>
      <c r="C184" t="s">
        <v>8</v>
      </c>
      <c r="D184" t="s">
        <v>9</v>
      </c>
      <c r="E184" s="2">
        <v>30000</v>
      </c>
      <c r="F184" t="s">
        <v>62</v>
      </c>
    </row>
    <row r="185" spans="1:6" x14ac:dyDescent="0.25">
      <c r="A185" s="1">
        <v>45836</v>
      </c>
      <c r="B185" t="s">
        <v>7</v>
      </c>
      <c r="C185" t="s">
        <v>29</v>
      </c>
      <c r="D185" t="s">
        <v>41</v>
      </c>
      <c r="E185" s="2">
        <v>650000</v>
      </c>
      <c r="F185" t="s">
        <v>61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Irvan Abdul Rahman</cp:lastModifiedBy>
  <dcterms:created xsi:type="dcterms:W3CDTF">2025-10-29T10:19:48Z</dcterms:created>
  <dcterms:modified xsi:type="dcterms:W3CDTF">2025-11-12T12:03:18Z</dcterms:modified>
</cp:coreProperties>
</file>